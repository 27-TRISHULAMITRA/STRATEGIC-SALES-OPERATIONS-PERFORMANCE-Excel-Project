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Projects\my data analytics projects\"/>
    </mc:Choice>
  </mc:AlternateContent>
  <xr:revisionPtr revIDLastSave="0" documentId="13_ncr:1_{9D12CA52-BFFD-4B29-B654-1862CF9A98C5}" xr6:coauthVersionLast="47" xr6:coauthVersionMax="47" xr10:uidLastSave="{00000000-0000-0000-0000-000000000000}"/>
  <bookViews>
    <workbookView xWindow="0" yWindow="360" windowWidth="23256" windowHeight="12456" firstSheet="13" activeTab="18" xr2:uid="{00000000-000D-0000-FFFF-FFFF00000000}"/>
  </bookViews>
  <sheets>
    <sheet name="2.1 Region-Wise Product Sales" sheetId="18" r:id="rId1"/>
    <sheet name="2.2Orders by Delivery status" sheetId="19" r:id="rId2"/>
    <sheet name="2.3Regional Average Delivery Ti" sheetId="20" r:id="rId3"/>
    <sheet name="4.2Effectivesales only delivery" sheetId="22" r:id="rId4"/>
    <sheet name="4.3Total Revenue" sheetId="23" r:id="rId5"/>
    <sheet name="4.3%of Fast Delivery" sheetId="24" r:id="rId6"/>
    <sheet name="4.3 Top 3 performing regions" sheetId="25" r:id="rId7"/>
    <sheet name="4.3Higherst-Selling product per" sheetId="26" r:id="rId8"/>
    <sheet name="Higherst-Selling productbyReven" sheetId="27" r:id="rId9"/>
    <sheet name="5.3Monthly Sales Trend" sheetId="29" r:id="rId10"/>
    <sheet name="5.3Condition Formatting" sheetId="30" r:id="rId11"/>
    <sheet name="4.1Cancellation Rate by Region" sheetId="35" r:id="rId12"/>
    <sheet name="Brainstroming Reflection" sheetId="37" r:id="rId13"/>
    <sheet name="Q3.Delivery 2days" sheetId="39" r:id="rId14"/>
    <sheet name="Orders" sheetId="3" r:id="rId15"/>
    <sheet name="Product Master" sheetId="4" r:id="rId16"/>
    <sheet name="Region Master" sheetId="5" r:id="rId17"/>
    <sheet name="Customer Master" sheetId="6" r:id="rId18"/>
    <sheet name="DASHBOARD" sheetId="33" r:id="rId19"/>
  </sheets>
  <definedNames>
    <definedName name="Slicer_Delivery_Status">#N/A</definedName>
    <definedName name="Slicer_is_cancel">#N/A</definedName>
    <definedName name="Slicer_Payment_Method">#N/A</definedName>
    <definedName name="Slicer_Product_Category">#N/A</definedName>
    <definedName name="Slicer_Region">#N/A</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37" l="1"/>
  <c r="E19" i="37"/>
  <c r="E18" i="37"/>
  <c r="E17" i="37"/>
  <c r="E16" i="37"/>
  <c r="X120" i="33"/>
  <c r="K97" i="33"/>
  <c r="E6" i="35"/>
  <c r="E7" i="35"/>
  <c r="E8" i="35"/>
  <c r="E9" i="35"/>
  <c r="E5" i="35"/>
  <c r="BT47" i="33"/>
  <c r="BT46" i="33"/>
  <c r="BT45" i="33"/>
  <c r="BT44" i="33"/>
  <c r="BT43" i="33"/>
  <c r="W120" i="33"/>
  <c r="AC111" i="33"/>
  <c r="R120" i="33" s="1"/>
  <c r="G120" i="33"/>
  <c r="BM42" i="33"/>
  <c r="BM41" i="33"/>
  <c r="BM40" i="33"/>
  <c r="BM39" i="33"/>
  <c r="BM38" i="33"/>
  <c r="BU36" i="33"/>
  <c r="M120" i="33" s="1"/>
  <c r="C6" i="30"/>
  <c r="C7" i="30"/>
  <c r="C8" i="30"/>
  <c r="C5" i="30"/>
  <c r="C4" i="30"/>
  <c r="D5" i="30"/>
  <c r="D6" i="30"/>
  <c r="D7" i="30"/>
  <c r="D8" i="30"/>
  <c r="D4" i="30"/>
  <c r="F5" i="24"/>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2" i="3"/>
  <c r="P3" i="3"/>
  <c r="R3" i="3" s="1" a="1"/>
  <c r="R3" i="3" s="1"/>
  <c r="P4" i="3"/>
  <c r="R4" i="3" s="1" a="1"/>
  <c r="R4" i="3" s="1"/>
  <c r="P5" i="3"/>
  <c r="R5" i="3" s="1" a="1"/>
  <c r="R5" i="3" s="1"/>
  <c r="P6" i="3"/>
  <c r="R6" i="3" s="1" a="1"/>
  <c r="R6" i="3" s="1"/>
  <c r="P7" i="3"/>
  <c r="R7" i="3" s="1" a="1"/>
  <c r="R7" i="3" s="1"/>
  <c r="P8" i="3"/>
  <c r="R8" i="3" s="1" a="1"/>
  <c r="R8" i="3" s="1"/>
  <c r="P9" i="3"/>
  <c r="R9" i="3" s="1" a="1"/>
  <c r="R9" i="3" s="1"/>
  <c r="P10" i="3"/>
  <c r="R10" i="3" s="1" a="1"/>
  <c r="R10" i="3" s="1"/>
  <c r="P11" i="3"/>
  <c r="R11" i="3" s="1" a="1"/>
  <c r="R11" i="3" s="1"/>
  <c r="P12" i="3"/>
  <c r="R12" i="3" s="1" a="1"/>
  <c r="R12" i="3" s="1"/>
  <c r="P13" i="3"/>
  <c r="R13" i="3" s="1" a="1"/>
  <c r="R13" i="3" s="1"/>
  <c r="P14" i="3"/>
  <c r="R14" i="3" s="1" a="1"/>
  <c r="R14" i="3" s="1"/>
  <c r="P15" i="3"/>
  <c r="R15" i="3" s="1" a="1"/>
  <c r="R15" i="3" s="1"/>
  <c r="P16" i="3"/>
  <c r="R16" i="3" s="1" a="1"/>
  <c r="R16" i="3" s="1"/>
  <c r="P17" i="3"/>
  <c r="R17" i="3" s="1" a="1"/>
  <c r="R17" i="3" s="1"/>
  <c r="P18" i="3"/>
  <c r="R18" i="3" s="1" a="1"/>
  <c r="R18" i="3" s="1"/>
  <c r="P19" i="3"/>
  <c r="R19" i="3" s="1" a="1"/>
  <c r="R19" i="3" s="1"/>
  <c r="P20" i="3"/>
  <c r="R20" i="3" s="1" a="1"/>
  <c r="R20" i="3" s="1"/>
  <c r="P21" i="3"/>
  <c r="R21" i="3" s="1" a="1"/>
  <c r="R21" i="3" s="1"/>
  <c r="P22" i="3"/>
  <c r="R22" i="3" s="1" a="1"/>
  <c r="R22" i="3" s="1"/>
  <c r="P23" i="3"/>
  <c r="R23" i="3" s="1" a="1"/>
  <c r="R23" i="3" s="1"/>
  <c r="P24" i="3"/>
  <c r="R24" i="3" s="1" a="1"/>
  <c r="R24" i="3" s="1"/>
  <c r="P25" i="3"/>
  <c r="R25" i="3" s="1" a="1"/>
  <c r="R25" i="3" s="1"/>
  <c r="P26" i="3"/>
  <c r="R26" i="3" s="1" a="1"/>
  <c r="R26" i="3" s="1"/>
  <c r="P27" i="3"/>
  <c r="R27" i="3" s="1" a="1"/>
  <c r="R27" i="3" s="1"/>
  <c r="P28" i="3"/>
  <c r="R28" i="3" s="1" a="1"/>
  <c r="R28" i="3" s="1"/>
  <c r="P29" i="3"/>
  <c r="R29" i="3" s="1" a="1"/>
  <c r="R29" i="3" s="1"/>
  <c r="P30" i="3"/>
  <c r="R30" i="3" s="1" a="1"/>
  <c r="R30" i="3" s="1"/>
  <c r="P31" i="3"/>
  <c r="R31" i="3" s="1" a="1"/>
  <c r="R31" i="3" s="1"/>
  <c r="P32" i="3"/>
  <c r="R32" i="3" s="1" a="1"/>
  <c r="R32" i="3" s="1"/>
  <c r="P33" i="3"/>
  <c r="R33" i="3" s="1" a="1"/>
  <c r="R33" i="3" s="1"/>
  <c r="P34" i="3"/>
  <c r="R34" i="3" s="1" a="1"/>
  <c r="R34" i="3" s="1"/>
  <c r="P35" i="3"/>
  <c r="R35" i="3" s="1" a="1"/>
  <c r="R35" i="3" s="1"/>
  <c r="P36" i="3"/>
  <c r="R36" i="3" s="1" a="1"/>
  <c r="R36" i="3" s="1"/>
  <c r="P37" i="3"/>
  <c r="R37" i="3" s="1" a="1"/>
  <c r="R37" i="3" s="1"/>
  <c r="P38" i="3"/>
  <c r="R38" i="3" s="1" a="1"/>
  <c r="R38" i="3" s="1"/>
  <c r="P39" i="3"/>
  <c r="R39" i="3" s="1" a="1"/>
  <c r="R39" i="3" s="1"/>
  <c r="P40" i="3"/>
  <c r="R40" i="3" s="1" a="1"/>
  <c r="R40" i="3" s="1"/>
  <c r="P41" i="3"/>
  <c r="R41" i="3" s="1" a="1"/>
  <c r="R41" i="3" s="1"/>
  <c r="P42" i="3"/>
  <c r="R42" i="3" s="1" a="1"/>
  <c r="R42" i="3" s="1"/>
  <c r="P43" i="3"/>
  <c r="R43" i="3" s="1" a="1"/>
  <c r="R43" i="3" s="1"/>
  <c r="P44" i="3"/>
  <c r="R44" i="3" s="1" a="1"/>
  <c r="R44" i="3" s="1"/>
  <c r="P45" i="3"/>
  <c r="R45" i="3" s="1" a="1"/>
  <c r="R45" i="3" s="1"/>
  <c r="P46" i="3"/>
  <c r="R46" i="3" s="1" a="1"/>
  <c r="R46" i="3" s="1"/>
  <c r="P47" i="3"/>
  <c r="R47" i="3" s="1" a="1"/>
  <c r="R47" i="3" s="1"/>
  <c r="P48" i="3"/>
  <c r="R48" i="3" s="1" a="1"/>
  <c r="R48" i="3" s="1"/>
  <c r="P49" i="3"/>
  <c r="R49" i="3" s="1" a="1"/>
  <c r="R49" i="3" s="1"/>
  <c r="P50" i="3"/>
  <c r="R50" i="3" s="1" a="1"/>
  <c r="R50" i="3" s="1"/>
  <c r="P51" i="3"/>
  <c r="R51" i="3" s="1" a="1"/>
  <c r="R51" i="3" s="1"/>
  <c r="P52" i="3"/>
  <c r="R52" i="3" s="1" a="1"/>
  <c r="R52" i="3" s="1"/>
  <c r="P53" i="3"/>
  <c r="R53" i="3" s="1" a="1"/>
  <c r="R53" i="3" s="1"/>
  <c r="P54" i="3"/>
  <c r="R54" i="3" s="1" a="1"/>
  <c r="R54" i="3" s="1"/>
  <c r="P55" i="3"/>
  <c r="R55" i="3" s="1" a="1"/>
  <c r="R55" i="3" s="1"/>
  <c r="P56" i="3"/>
  <c r="R56" i="3" s="1" a="1"/>
  <c r="R56" i="3" s="1"/>
  <c r="P57" i="3"/>
  <c r="R57" i="3" s="1" a="1"/>
  <c r="R57" i="3" s="1"/>
  <c r="P58" i="3"/>
  <c r="R58" i="3" s="1" a="1"/>
  <c r="R58" i="3" s="1"/>
  <c r="P59" i="3"/>
  <c r="R59" i="3" s="1" a="1"/>
  <c r="R59" i="3" s="1"/>
  <c r="P60" i="3"/>
  <c r="R60" i="3" s="1" a="1"/>
  <c r="R60" i="3" s="1"/>
  <c r="P61" i="3"/>
  <c r="R61" i="3" s="1" a="1"/>
  <c r="R61" i="3" s="1"/>
  <c r="P62" i="3"/>
  <c r="R62" i="3" s="1" a="1"/>
  <c r="R62" i="3" s="1"/>
  <c r="P63" i="3"/>
  <c r="R63" i="3" s="1" a="1"/>
  <c r="R63" i="3" s="1"/>
  <c r="P64" i="3"/>
  <c r="R64" i="3" s="1" a="1"/>
  <c r="R64" i="3" s="1"/>
  <c r="P65" i="3"/>
  <c r="R65" i="3" s="1" a="1"/>
  <c r="R65" i="3" s="1"/>
  <c r="P66" i="3"/>
  <c r="R66" i="3" s="1" a="1"/>
  <c r="R66" i="3" s="1"/>
  <c r="P67" i="3"/>
  <c r="R67" i="3" s="1" a="1"/>
  <c r="R67" i="3" s="1"/>
  <c r="P68" i="3"/>
  <c r="R68" i="3" s="1" a="1"/>
  <c r="R68" i="3" s="1"/>
  <c r="P69" i="3"/>
  <c r="R69" i="3" s="1" a="1"/>
  <c r="R69" i="3" s="1"/>
  <c r="P70" i="3"/>
  <c r="R70" i="3" s="1" a="1"/>
  <c r="R70" i="3" s="1"/>
  <c r="P71" i="3"/>
  <c r="R71" i="3" s="1" a="1"/>
  <c r="R71" i="3" s="1"/>
  <c r="P72" i="3"/>
  <c r="R72" i="3" s="1" a="1"/>
  <c r="R72" i="3" s="1"/>
  <c r="P73" i="3"/>
  <c r="R73" i="3" s="1" a="1"/>
  <c r="R73" i="3" s="1"/>
  <c r="P74" i="3"/>
  <c r="R74" i="3" s="1" a="1"/>
  <c r="R74" i="3" s="1"/>
  <c r="P75" i="3"/>
  <c r="R75" i="3" s="1" a="1"/>
  <c r="R75" i="3" s="1"/>
  <c r="P76" i="3"/>
  <c r="R76" i="3" s="1" a="1"/>
  <c r="R76" i="3" s="1"/>
  <c r="P77" i="3"/>
  <c r="R77" i="3" s="1" a="1"/>
  <c r="R77" i="3" s="1"/>
  <c r="P78" i="3"/>
  <c r="R78" i="3" s="1" a="1"/>
  <c r="R78" i="3" s="1"/>
  <c r="P79" i="3"/>
  <c r="R79" i="3" s="1" a="1"/>
  <c r="R79" i="3" s="1"/>
  <c r="P80" i="3"/>
  <c r="R80" i="3" s="1" a="1"/>
  <c r="R80" i="3" s="1"/>
  <c r="P81" i="3"/>
  <c r="R81" i="3" s="1" a="1"/>
  <c r="R81" i="3" s="1"/>
  <c r="P82" i="3"/>
  <c r="R82" i="3" s="1" a="1"/>
  <c r="R82" i="3" s="1"/>
  <c r="P83" i="3"/>
  <c r="R83" i="3" s="1" a="1"/>
  <c r="R83" i="3" s="1"/>
  <c r="P84" i="3"/>
  <c r="R84" i="3" s="1" a="1"/>
  <c r="R84" i="3" s="1"/>
  <c r="P85" i="3"/>
  <c r="R85" i="3" s="1" a="1"/>
  <c r="R85" i="3" s="1"/>
  <c r="P86" i="3"/>
  <c r="R86" i="3" s="1" a="1"/>
  <c r="R86" i="3" s="1"/>
  <c r="P87" i="3"/>
  <c r="R87" i="3" s="1" a="1"/>
  <c r="R87" i="3" s="1"/>
  <c r="P88" i="3"/>
  <c r="R88" i="3" s="1" a="1"/>
  <c r="R88" i="3" s="1"/>
  <c r="P89" i="3"/>
  <c r="R89" i="3" s="1" a="1"/>
  <c r="R89" i="3" s="1"/>
  <c r="P90" i="3"/>
  <c r="R90" i="3" s="1" a="1"/>
  <c r="R90" i="3" s="1"/>
  <c r="P91" i="3"/>
  <c r="R91" i="3" s="1" a="1"/>
  <c r="R91" i="3" s="1"/>
  <c r="P92" i="3"/>
  <c r="R92" i="3" s="1" a="1"/>
  <c r="R92" i="3" s="1"/>
  <c r="P93" i="3"/>
  <c r="R93" i="3" s="1" a="1"/>
  <c r="R93" i="3" s="1"/>
  <c r="P94" i="3"/>
  <c r="R94" i="3" s="1" a="1"/>
  <c r="R94" i="3" s="1"/>
  <c r="P95" i="3"/>
  <c r="R95" i="3" s="1" a="1"/>
  <c r="R95" i="3" s="1"/>
  <c r="P96" i="3"/>
  <c r="R96" i="3" s="1" a="1"/>
  <c r="R96" i="3" s="1"/>
  <c r="P97" i="3"/>
  <c r="R97" i="3" s="1" a="1"/>
  <c r="R97" i="3" s="1"/>
  <c r="P98" i="3"/>
  <c r="R98" i="3" s="1" a="1"/>
  <c r="R98" i="3" s="1"/>
  <c r="P99" i="3"/>
  <c r="R99" i="3" s="1" a="1"/>
  <c r="R99" i="3" s="1"/>
  <c r="P100" i="3"/>
  <c r="R100" i="3" s="1" a="1"/>
  <c r="R100" i="3" s="1"/>
  <c r="P101" i="3"/>
  <c r="R101" i="3" s="1" a="1"/>
  <c r="R101" i="3" s="1"/>
  <c r="P2" i="3"/>
  <c r="R2" i="3" s="1" a="1"/>
  <c r="R2" i="3" s="1"/>
  <c r="O3" i="3" a="1"/>
  <c r="O3" i="3" s="1"/>
  <c r="O4" i="3" a="1"/>
  <c r="O4" i="3" s="1"/>
  <c r="O5" i="3" a="1"/>
  <c r="O5" i="3" s="1"/>
  <c r="O6" i="3" a="1"/>
  <c r="O6" i="3" s="1"/>
  <c r="O7" i="3" a="1"/>
  <c r="O7" i="3" s="1"/>
  <c r="O8" i="3" a="1"/>
  <c r="O8" i="3" s="1"/>
  <c r="O9" i="3" a="1"/>
  <c r="O9" i="3" s="1"/>
  <c r="O10" i="3" a="1"/>
  <c r="O10" i="3" s="1"/>
  <c r="O11" i="3" a="1"/>
  <c r="O11" i="3" s="1"/>
  <c r="O12" i="3" a="1"/>
  <c r="O12" i="3" s="1"/>
  <c r="O13" i="3" a="1"/>
  <c r="O13" i="3" s="1"/>
  <c r="O14" i="3" a="1"/>
  <c r="O14" i="3" s="1"/>
  <c r="O15" i="3" a="1"/>
  <c r="O15" i="3" s="1"/>
  <c r="O16" i="3" a="1"/>
  <c r="O16" i="3" s="1"/>
  <c r="O17" i="3" a="1"/>
  <c r="O17" i="3" s="1"/>
  <c r="O18" i="3" a="1"/>
  <c r="O18" i="3" s="1"/>
  <c r="O19" i="3" a="1"/>
  <c r="O19" i="3" s="1"/>
  <c r="O20" i="3" a="1"/>
  <c r="O20" i="3" s="1"/>
  <c r="O21" i="3" a="1"/>
  <c r="O21" i="3" s="1"/>
  <c r="O22" i="3" a="1"/>
  <c r="O22" i="3" s="1"/>
  <c r="O23" i="3" a="1"/>
  <c r="O23" i="3" s="1"/>
  <c r="O24" i="3" a="1"/>
  <c r="O24" i="3" s="1"/>
  <c r="O25" i="3" a="1"/>
  <c r="O25" i="3" s="1"/>
  <c r="O26" i="3" a="1"/>
  <c r="O26" i="3" s="1"/>
  <c r="O27" i="3" a="1"/>
  <c r="O27" i="3" s="1"/>
  <c r="O28" i="3" a="1"/>
  <c r="O28" i="3" s="1"/>
  <c r="O29" i="3" a="1"/>
  <c r="O29" i="3" s="1"/>
  <c r="O30" i="3" a="1"/>
  <c r="O30" i="3" s="1"/>
  <c r="O31" i="3" a="1"/>
  <c r="O31" i="3" s="1"/>
  <c r="O32" i="3" a="1"/>
  <c r="O32" i="3" s="1"/>
  <c r="O33" i="3" a="1"/>
  <c r="O33" i="3" s="1"/>
  <c r="O34" i="3" a="1"/>
  <c r="O34" i="3" s="1"/>
  <c r="O35" i="3" a="1"/>
  <c r="O35" i="3" s="1"/>
  <c r="O36" i="3" a="1"/>
  <c r="O36" i="3" s="1"/>
  <c r="O37" i="3" a="1"/>
  <c r="O37" i="3" s="1"/>
  <c r="O38" i="3" a="1"/>
  <c r="O38" i="3" s="1"/>
  <c r="O39" i="3" a="1"/>
  <c r="O39" i="3" s="1"/>
  <c r="O40" i="3" a="1"/>
  <c r="O40" i="3" s="1"/>
  <c r="O41" i="3" a="1"/>
  <c r="O41" i="3" s="1"/>
  <c r="O42" i="3" a="1"/>
  <c r="O42" i="3" s="1"/>
  <c r="O43" i="3" a="1"/>
  <c r="O43" i="3" s="1"/>
  <c r="O44" i="3" a="1"/>
  <c r="O44" i="3" s="1"/>
  <c r="O45" i="3" a="1"/>
  <c r="O45" i="3" s="1"/>
  <c r="O46" i="3" a="1"/>
  <c r="O46" i="3" s="1"/>
  <c r="O47" i="3" a="1"/>
  <c r="O47" i="3" s="1"/>
  <c r="O48" i="3" a="1"/>
  <c r="O48" i="3" s="1"/>
  <c r="O49" i="3" a="1"/>
  <c r="O49" i="3" s="1"/>
  <c r="O50" i="3" a="1"/>
  <c r="O50" i="3" s="1"/>
  <c r="O51" i="3" a="1"/>
  <c r="O51" i="3" s="1"/>
  <c r="O52" i="3" a="1"/>
  <c r="O52" i="3" s="1"/>
  <c r="O53" i="3" a="1"/>
  <c r="O53" i="3" s="1"/>
  <c r="O54" i="3" a="1"/>
  <c r="O54" i="3" s="1"/>
  <c r="O55" i="3" a="1"/>
  <c r="O55" i="3" s="1"/>
  <c r="O56" i="3" a="1"/>
  <c r="O56" i="3" s="1"/>
  <c r="O57" i="3" a="1"/>
  <c r="O57" i="3" s="1"/>
  <c r="O58" i="3" a="1"/>
  <c r="O58" i="3" s="1"/>
  <c r="O59" i="3" a="1"/>
  <c r="O59" i="3" s="1"/>
  <c r="O60" i="3" a="1"/>
  <c r="O60" i="3" s="1"/>
  <c r="O61" i="3" a="1"/>
  <c r="O61" i="3" s="1"/>
  <c r="O62" i="3" a="1"/>
  <c r="O62" i="3" s="1"/>
  <c r="O63" i="3" a="1"/>
  <c r="O63" i="3" s="1"/>
  <c r="O64" i="3" a="1"/>
  <c r="O64" i="3" s="1"/>
  <c r="O65" i="3" a="1"/>
  <c r="O65" i="3" s="1"/>
  <c r="O66" i="3" a="1"/>
  <c r="O66" i="3" s="1"/>
  <c r="O67" i="3" a="1"/>
  <c r="O67" i="3" s="1"/>
  <c r="O68" i="3" a="1"/>
  <c r="O68" i="3" s="1"/>
  <c r="O69" i="3" a="1"/>
  <c r="O69" i="3" s="1"/>
  <c r="O70" i="3" a="1"/>
  <c r="O70" i="3" s="1"/>
  <c r="O71" i="3" a="1"/>
  <c r="O71" i="3" s="1"/>
  <c r="O72" i="3" a="1"/>
  <c r="O72" i="3" s="1"/>
  <c r="O73" i="3" a="1"/>
  <c r="O73" i="3" s="1"/>
  <c r="O74" i="3" a="1"/>
  <c r="O74" i="3" s="1"/>
  <c r="O75" i="3" a="1"/>
  <c r="O75" i="3" s="1"/>
  <c r="O76" i="3" a="1"/>
  <c r="O76" i="3" s="1"/>
  <c r="O77" i="3" a="1"/>
  <c r="O77" i="3" s="1"/>
  <c r="O78" i="3" a="1"/>
  <c r="O78" i="3" s="1"/>
  <c r="O79" i="3" a="1"/>
  <c r="O79" i="3" s="1"/>
  <c r="O80" i="3" a="1"/>
  <c r="O80" i="3" s="1"/>
  <c r="O81" i="3" a="1"/>
  <c r="O81" i="3" s="1"/>
  <c r="O82" i="3" a="1"/>
  <c r="O82" i="3" s="1"/>
  <c r="O83" i="3" a="1"/>
  <c r="O83" i="3" s="1"/>
  <c r="O84" i="3" a="1"/>
  <c r="O84" i="3" s="1"/>
  <c r="O85" i="3" a="1"/>
  <c r="O85" i="3" s="1"/>
  <c r="O86" i="3" a="1"/>
  <c r="O86" i="3" s="1"/>
  <c r="O87" i="3" a="1"/>
  <c r="O87" i="3" s="1"/>
  <c r="O88" i="3" a="1"/>
  <c r="O88" i="3" s="1"/>
  <c r="O89" i="3" a="1"/>
  <c r="O89" i="3" s="1"/>
  <c r="O90" i="3" a="1"/>
  <c r="O90" i="3" s="1"/>
  <c r="O91" i="3" a="1"/>
  <c r="O91" i="3" s="1"/>
  <c r="O92" i="3" a="1"/>
  <c r="O92" i="3" s="1"/>
  <c r="O93" i="3" a="1"/>
  <c r="O93" i="3" s="1"/>
  <c r="O94" i="3" a="1"/>
  <c r="O94" i="3" s="1"/>
  <c r="O95" i="3" a="1"/>
  <c r="O95" i="3" s="1"/>
  <c r="O96" i="3" a="1"/>
  <c r="O96" i="3" s="1"/>
  <c r="O97" i="3" a="1"/>
  <c r="O97" i="3" s="1"/>
  <c r="O98" i="3" a="1"/>
  <c r="O98" i="3" s="1"/>
  <c r="O99" i="3" a="1"/>
  <c r="O99" i="3" s="1"/>
  <c r="O100" i="3" a="1"/>
  <c r="O100" i="3" s="1"/>
  <c r="O101" i="3" a="1"/>
  <c r="O101" i="3" s="1"/>
  <c r="O2" i="3" a="1"/>
  <c r="O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<sst xmlns="http://schemas.openxmlformats.org/spreadsheetml/2006/main" count="1330" uniqueCount="399">
  <si>
    <t>Product ID</t>
  </si>
  <si>
    <t>Region</t>
  </si>
  <si>
    <t>Sale Price/Unit</t>
  </si>
  <si>
    <t>Quantity</t>
  </si>
  <si>
    <t>Total Amount</t>
  </si>
  <si>
    <t>Payment Method</t>
  </si>
  <si>
    <t>Delivery Status</t>
  </si>
  <si>
    <t>Fulfillment Partner</t>
  </si>
  <si>
    <t>Order Date</t>
  </si>
  <si>
    <t>Delivery Date</t>
  </si>
  <si>
    <t>Cancel Date</t>
  </si>
  <si>
    <t>PROD012</t>
  </si>
  <si>
    <t>North</t>
  </si>
  <si>
    <t>Apple Pay</t>
  </si>
  <si>
    <t>Cancelled</t>
  </si>
  <si>
    <t>DHL</t>
  </si>
  <si>
    <t>PROD018</t>
  </si>
  <si>
    <t>East</t>
  </si>
  <si>
    <t>Credit Card</t>
  </si>
  <si>
    <t>Delivered</t>
  </si>
  <si>
    <t>PROD013</t>
  </si>
  <si>
    <t>South</t>
  </si>
  <si>
    <t>In Transit</t>
  </si>
  <si>
    <t>USPS</t>
  </si>
  <si>
    <t>PayPal</t>
  </si>
  <si>
    <t>UPS</t>
  </si>
  <si>
    <t>PROD010</t>
  </si>
  <si>
    <t>Amazon Logistics</t>
  </si>
  <si>
    <t>Amazon Pay</t>
  </si>
  <si>
    <t>PROD020</t>
  </si>
  <si>
    <t>Central</t>
  </si>
  <si>
    <t>Debit Card</t>
  </si>
  <si>
    <t>PROD021</t>
  </si>
  <si>
    <t>West</t>
  </si>
  <si>
    <t>PROD019</t>
  </si>
  <si>
    <t>PROD003</t>
  </si>
  <si>
    <t>PROD014</t>
  </si>
  <si>
    <t>FedEx</t>
  </si>
  <si>
    <t>PROD006</t>
  </si>
  <si>
    <t>PROD017</t>
  </si>
  <si>
    <t>PROD005</t>
  </si>
  <si>
    <t>PROD015</t>
  </si>
  <si>
    <t>PROD008</t>
  </si>
  <si>
    <t>PROD001</t>
  </si>
  <si>
    <t>PROD002</t>
  </si>
  <si>
    <t>PROD022</t>
  </si>
  <si>
    <t>PROD009</t>
  </si>
  <si>
    <t>PROD011</t>
  </si>
  <si>
    <t>PROD016</t>
  </si>
  <si>
    <t>PROD007</t>
  </si>
  <si>
    <t>PROD004</t>
  </si>
  <si>
    <t>Order ID</t>
  </si>
  <si>
    <t>Customer ID</t>
  </si>
  <si>
    <t>Product Name</t>
  </si>
  <si>
    <t>ORD0001</t>
  </si>
  <si>
    <t>CUST021</t>
  </si>
  <si>
    <t>ORD0002</t>
  </si>
  <si>
    <t>CUST029</t>
  </si>
  <si>
    <t>ORD0003</t>
  </si>
  <si>
    <t>ORD0004</t>
  </si>
  <si>
    <t>CUST044</t>
  </si>
  <si>
    <t>ORD0005</t>
  </si>
  <si>
    <t>CUST027</t>
  </si>
  <si>
    <t>ORD0006</t>
  </si>
  <si>
    <t>CUST009</t>
  </si>
  <si>
    <t>ORD0007</t>
  </si>
  <si>
    <t>CUST042</t>
  </si>
  <si>
    <t>ORD0008</t>
  </si>
  <si>
    <t>CUST019</t>
  </si>
  <si>
    <t>ORD0009</t>
  </si>
  <si>
    <t>CUST013</t>
  </si>
  <si>
    <t>ORD0010</t>
  </si>
  <si>
    <t>ORD0011</t>
  </si>
  <si>
    <t>CUST046</t>
  </si>
  <si>
    <t>ORD0012</t>
  </si>
  <si>
    <t>CUST045</t>
  </si>
  <si>
    <t>ORD0013</t>
  </si>
  <si>
    <t>CUST023</t>
  </si>
  <si>
    <t>ORD0014</t>
  </si>
  <si>
    <t>CUST033</t>
  </si>
  <si>
    <t>ORD0015</t>
  </si>
  <si>
    <t>ORD0016</t>
  </si>
  <si>
    <t>CUST047</t>
  </si>
  <si>
    <t>ORD0017</t>
  </si>
  <si>
    <t>ORD0018</t>
  </si>
  <si>
    <t>CUST011</t>
  </si>
  <si>
    <t>ORD0019</t>
  </si>
  <si>
    <t>CUST041</t>
  </si>
  <si>
    <t>ORD0020</t>
  </si>
  <si>
    <t>CUST025</t>
  </si>
  <si>
    <t>ORD0021</t>
  </si>
  <si>
    <t>ORD0022</t>
  </si>
  <si>
    <t>ORD0023</t>
  </si>
  <si>
    <t>CUST016</t>
  </si>
  <si>
    <t>ORD0024</t>
  </si>
  <si>
    <t>CUST028</t>
  </si>
  <si>
    <t>ORD0025</t>
  </si>
  <si>
    <t>CUST040</t>
  </si>
  <si>
    <t>ORD0026</t>
  </si>
  <si>
    <t>ORD0027</t>
  </si>
  <si>
    <t>CUST018</t>
  </si>
  <si>
    <t>ORD0028</t>
  </si>
  <si>
    <t>ORD0029</t>
  </si>
  <si>
    <t>CUST007</t>
  </si>
  <si>
    <t>ORD0030</t>
  </si>
  <si>
    <t>CUST008</t>
  </si>
  <si>
    <t>ORD0031</t>
  </si>
  <si>
    <t>CUST014</t>
  </si>
  <si>
    <t>ORD0032</t>
  </si>
  <si>
    <t>CUST037</t>
  </si>
  <si>
    <t>ORD0033</t>
  </si>
  <si>
    <t>ORD0034</t>
  </si>
  <si>
    <t>ORD0035</t>
  </si>
  <si>
    <t>CUST032</t>
  </si>
  <si>
    <t>ORD0036</t>
  </si>
  <si>
    <t>ORD0037</t>
  </si>
  <si>
    <t>ORD0038</t>
  </si>
  <si>
    <t>ORD0039</t>
  </si>
  <si>
    <t>CUST024</t>
  </si>
  <si>
    <t>ORD0040</t>
  </si>
  <si>
    <t>CUST006</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</si>
  <si>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</si>
  <si>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</si>
  <si>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</si>
  <si>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</si>
  <si>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</si>
  <si>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</si>
  <si>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</si>
  <si>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</si>
  <si>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</si>
  <si>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</si>
  <si>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</si>
  <si>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</si>
  <si>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</si>
  <si>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</si>
  <si>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</si>
  <si>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</si>
  <si>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</si>
  <si>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</si>
  <si>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</si>
  <si>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</si>
  <si>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</si>
  <si>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</si>
  <si>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</si>
  <si>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</si>
  <si>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</si>
  <si>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</si>
  <si>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</si>
  <si>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</si>
  <si>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</si>
  <si>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</si>
  <si>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</si>
  <si>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</si>
  <si>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</si>
  <si>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</si>
  <si>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</si>
  <si>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</si>
  <si>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</si>
  <si>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</si>
  <si>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</si>
  <si>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</si>
  <si>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</si>
  <si>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</si>
  <si>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</si>
  <si>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</si>
  <si>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</si>
  <si>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</si>
  <si>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</si>
  <si>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</si>
  <si>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</si>
  <si>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</si>
  <si>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</si>
  <si>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</si>
  <si>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</si>
  <si>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</si>
  <si>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</si>
  <si>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</si>
  <si>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</si>
  <si>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</si>
  <si>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</si>
  <si>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</si>
  <si>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</si>
  <si>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</si>
  <si>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</si>
  <si>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</si>
  <si>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</si>
  <si>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</si>
  <si>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</si>
  <si>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</si>
  <si>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</si>
  <si>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</si>
  <si>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</si>
  <si>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</si>
  <si>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</si>
  <si>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</si>
  <si>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</si>
  <si>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</si>
  <si>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</si>
  <si>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</si>
  <si>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</si>
  <si>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</si>
  <si>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</si>
  <si>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</si>
  <si>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</si>
  <si>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</si>
  <si>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</si>
  <si>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</si>
  <si>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</si>
  <si>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</si>
  <si>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</si>
  <si>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</si>
  <si>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</si>
  <si>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</si>
  <si>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</si>
  <si>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</si>
  <si>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</si>
  <si>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</si>
  <si>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</si>
  <si>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</si>
  <si>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</si>
  <si>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</si>
  <si>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</si>
  <si>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</si>
  <si>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</si>
  <si>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</si>
  <si>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</si>
  <si>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</si>
  <si>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</si>
  <si>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</si>
  <si>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</si>
  <si>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</si>
  <si>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</si>
  <si>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</si>
  <si>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</si>
  <si>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</si>
  <si>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</si>
  <si>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</si>
  <si>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</si>
  <si>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</si>
  <si>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</si>
  <si>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</si>
  <si>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</si>
  <si>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</si>
  <si>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</si>
  <si>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</si>
  <si>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</si>
  <si>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</si>
  <si>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</si>
  <si>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</si>
  <si>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</si>
  <si>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</si>
  <si>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</si>
  <si>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</si>
  <si>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</si>
  <si>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</si>
  <si>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</si>
  <si>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</si>
  <si>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</si>
  <si>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</si>
  <si>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</si>
  <si>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</si>
  <si>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</si>
  <si>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</si>
  <si>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</si>
  <si>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</si>
  <si>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</si>
  <si>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</si>
  <si>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</si>
  <si>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</si>
  <si>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</si>
  <si>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</si>
  <si>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</si>
  <si>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</si>
  <si>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</si>
  <si>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</si>
  <si>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</si>
  <si>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</si>
  <si>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</si>
  <si>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</si>
  <si>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</si>
  <si>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</si>
  <si>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</si>
  <si>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</si>
  <si>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</si>
  <si>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</si>
  <si>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</si>
  <si>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</si>
  <si>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</si>
  <si>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</si>
  <si>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</si>
  <si>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</si>
  <si>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</si>
  <si>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</si>
  <si>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</si>
  <si>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</si>
  <si>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</si>
  <si>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</si>
  <si>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</si>
  <si>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</si>
  <si>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</si>
  <si>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</si>
  <si>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</si>
  <si>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</si>
  <si>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</si>
  <si>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</si>
  <si>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</si>
  <si>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</si>
  <si>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</si>
  <si>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</si>
  <si>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</si>
  <si>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</si>
  <si>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Row Labels</t>
  </si>
  <si>
    <t>Grand Total</t>
  </si>
  <si>
    <t>Sum of Total Amount</t>
  </si>
  <si>
    <t>is cancel</t>
  </si>
  <si>
    <t>Product Category</t>
  </si>
  <si>
    <t xml:space="preserve">Average Delivery Time </t>
  </si>
  <si>
    <t xml:space="preserve">Average of Average Delivery Time </t>
  </si>
  <si>
    <t>(All)</t>
  </si>
  <si>
    <t>Count of Order ID</t>
  </si>
  <si>
    <t>Delivery Performance</t>
  </si>
  <si>
    <t>Column Labels</t>
  </si>
  <si>
    <t>NO</t>
  </si>
  <si>
    <t>Fast</t>
  </si>
  <si>
    <t>NA</t>
  </si>
  <si>
    <t>Slow</t>
  </si>
  <si>
    <t>PRODUCT NAME</t>
  </si>
  <si>
    <t>Count of Total Amount</t>
  </si>
  <si>
    <t>Q2.2 Count of Orders by Delivery Status</t>
  </si>
  <si>
    <t>Q2.1  Show Total Sales Amount by Region and Product Category</t>
  </si>
  <si>
    <t>Q2.3 Region-wise Average Delivery Time [I used this {=IF(Delivery date&lt;&gt;"",Delivery date-Order date,"NA") } Formula to Calculate the Average Delivery time in orders table sheet,Then plotted This Pivot table &amp; chart.</t>
  </si>
  <si>
    <t>YES</t>
  </si>
  <si>
    <t xml:space="preserve">Cancellation Rate by Region </t>
  </si>
  <si>
    <r>
      <rPr>
        <b/>
        <sz val="11"/>
        <color theme="1"/>
        <rFont val="Calibri"/>
        <family val="2"/>
        <scheme val="minor"/>
      </rPr>
      <t>Cancelled orders/Total orders</t>
    </r>
    <r>
      <rPr>
        <sz val="11"/>
        <color theme="1"/>
        <rFont val="Calibri"/>
        <family val="2"/>
        <scheme val="minor"/>
      </rPr>
      <t xml:space="preserve"> </t>
    </r>
  </si>
  <si>
    <r>
      <t>Effective Sales</t>
    </r>
    <r>
      <rPr>
        <sz val="11"/>
        <color theme="1"/>
        <rFont val="Tahoma"/>
        <family val="2"/>
      </rPr>
      <t xml:space="preserve"> = Sales Amount for Delivered Orders only</t>
    </r>
  </si>
  <si>
    <t>Q4.2</t>
  </si>
  <si>
    <t>Q4.1  Cancellation Rate by Region (Cancelled Orders / Total Orders)</t>
  </si>
  <si>
    <t xml:space="preserve">% Fast Delivery </t>
  </si>
  <si>
    <t xml:space="preserve">Ans : My logic to solve this problem statement is % Fast Deliveries = Fast/(Fast+slow) </t>
  </si>
  <si>
    <t>Q4.3  Calculate the % of Fast Delivery ?</t>
  </si>
  <si>
    <t>4.3  Top 3 Performing Regions</t>
  </si>
  <si>
    <t>Q4.3 Higherst-Selling Product  ?</t>
  </si>
  <si>
    <t xml:space="preserve">Ans: Higherst-Selling product per unit is Leg Set &amp; T-Shirt </t>
  </si>
  <si>
    <t>Q4.3  Highest-selling Product by Revenue ?</t>
  </si>
  <si>
    <t>Ans: Highest-Selling product by Revenue is Smartphone .</t>
  </si>
  <si>
    <t>Jan</t>
  </si>
  <si>
    <t>Feb</t>
  </si>
  <si>
    <t>Mar</t>
  </si>
  <si>
    <t>Apr</t>
  </si>
  <si>
    <t>May</t>
  </si>
  <si>
    <t>Jun</t>
  </si>
  <si>
    <t>Jul</t>
  </si>
  <si>
    <t>Aug</t>
  </si>
  <si>
    <t>Sep</t>
  </si>
  <si>
    <t>Oct</t>
  </si>
  <si>
    <t>Nov</t>
  </si>
  <si>
    <t>Dec</t>
  </si>
  <si>
    <t>HIGH</t>
  </si>
  <si>
    <t>LOW</t>
  </si>
  <si>
    <t>5.2 Highlight high-performing regions or products using Conditional Formatting</t>
  </si>
  <si>
    <t>STRATEGIC SALES &amp; OPERATIONS PERFORMANCE DASHBOARD</t>
  </si>
  <si>
    <t/>
  </si>
  <si>
    <t>Total Revnue</t>
  </si>
  <si>
    <t>%Cancellation Rate by Region</t>
  </si>
  <si>
    <t>Highest Selling Produsts by Units</t>
  </si>
  <si>
    <t>Highest-Selling product by Revenue</t>
  </si>
  <si>
    <t>Ans:</t>
  </si>
  <si>
    <t>XLOOKUP simplifies cross-sheet analysis by allowing direct lookup between different sheets without needing complex combinations like VLOOKUP + MATCH. It:</t>
  </si>
  <si>
    <t>Works both left and right (no column limitation)</t>
  </si>
  <si>
    <t>Removes need for column index numbers</t>
  </si>
  <si>
    <t>Handles errors using the if_not_found argument</t>
  </si>
  <si>
    <t>Matches exact values by default</t>
  </si>
  <si>
    <t>Works with entire ranges easily across sheets</t>
  </si>
  <si>
    <t>EX - =XLOOKUP(A2,'Product Master'!A:A,'Product Master'!B:B,"Not Found")</t>
  </si>
  <si>
    <t>XLOOKUP improves accuracy, reduces formula complexity, and makes cross-sheet data analysis more efficient and user-friendly.</t>
  </si>
  <si>
    <t xml:space="preserve">Ans: </t>
  </si>
  <si>
    <t>Ans: Delivery Time=Count 1 (for 1 day)</t>
  </si>
  <si>
    <t>Delivery Time 2=Count 10(10for 2 days</t>
  </si>
  <si>
    <t>so Total Delivered Orders are 11.</t>
  </si>
  <si>
    <t>Based on the dashboard insights (delivery status and regional average delivery time), the following recommendations can improve delivery performance:</t>
  </si>
  <si>
    <t>1.Reduce regional delays – Focus on regions with higher average delivery time (e.g., North, East, Central).</t>
  </si>
  <si>
    <t>2.Improve logistics planning – Optimize delivery routes to reduce transit time.</t>
  </si>
  <si>
    <t>3.Strengthen courier partnerships – Work with reliable delivery partners to minimize cancellations.</t>
  </si>
  <si>
    <t>4.Implement real-time tracking systems – Monitor shipment progress to avoid unexpected delays.</t>
  </si>
  <si>
    <t>5.Improve warehouse processing speed – Reduce dispatch time after order confirmation.
6.Analyze cancellation reasons – Address common causes like late delivery or stock issues.</t>
  </si>
  <si>
    <t>7.Analyze delayed regions – Focus on areas with poor delivery performance.</t>
  </si>
  <si>
    <t>8.Set clear dispatch deadlines – Reduce warehouse processing time</t>
  </si>
  <si>
    <t>9.Automate order processing – Minimize manual errors.</t>
  </si>
  <si>
    <t>Q5 What recommendations would you give to improve delivery performance?</t>
  </si>
  <si>
    <t>Q4. How has the use of XLOOKUP simplified cross -sheet analysis?</t>
  </si>
  <si>
    <t>Q3. How many orders weredelivered within 2 days?</t>
  </si>
  <si>
    <t>Q2. Which region has the highest order cancellation rate?</t>
  </si>
  <si>
    <t>Q1. What is the most Successful product category in terma of revenue?</t>
  </si>
  <si>
    <t>Brainstroming Reflection</t>
  </si>
  <si>
    <t>Q3. How many orders were delivered within 2 days?</t>
  </si>
  <si>
    <t>Electronics is the most successful product category in terms of revenue. Among individual products, Smartphone generates the highest revenue.</t>
  </si>
  <si>
    <t>Ans.</t>
  </si>
  <si>
    <t>Ans. North region generates the highest revenue but also has the highest cancellation rate (40%). This indicates strong demand in the region but also potential operational or fulfillment issues leading to higher cancellations.</t>
  </si>
  <si>
    <t xml:space="preserve">BrainStorming Reflection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</si>
</sst>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font>
    <font>
      <sz val="11"/>
      <color theme="1"/>
      <name val="Calibri"/>
      <family val="2"/>
    </font>
    <font>
      <sz val="11"/>
      <color theme="1"/>
      <name val="Tahoma"/>
      <family val="2"/>
    </font>
    <font>
      <b/>
      <sz val="11"/>
      <color theme="1"/>
      <name val="Tahoma"/>
      <family val="2"/>
    </font>
    <font>
      <b/>
      <sz val="11"/>
      <color theme="1"/>
      <name val="Calibri"/>
      <family val="2"/>
      <scheme val="minor"/>
    </font>
    <font>
      <sz val="11"/>
      <color theme="0"/>
      <name val="Calibri"/>
      <family val="2"/>
      <scheme val="minor"/>
    </font>
    <font>
      <sz val="28"/>
      <color theme="0"/>
      <name val="Calibri"/>
      <family val="2"/>
      <scheme val="minor"/>
    </font>
    <font>
      <b/>
      <sz val="16"/>
      <color rgb="FF000000"/>
      <name val="Calibri"/>
      <family val="2"/>
      <scheme val="minor"/>
    </font>
  </fonts>
  <fills count="6">
    <fill>
      <patternFill patternType="none"/>
    </fill>
    <fill>
      <patternFill patternType="gray125"/>
    </fill>
    <fill>
      <patternFill patternType="solid">
        <fgColor theme="3" tint="-0.499984740745262"/>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1" xfId="0" applyBorder="1"/>
    <xf numFmtId="14" fontId="0" fillId="0" borderId="1" xfId="0" applyNumberFormat="1" applyBorder="1"/>
    <xf numFmtId="14" fontId="0" fillId="0" borderId="2" xfId="0" applyNumberFormat="1" applyBorder="1"/>
    <xf numFmtId="0" fontId="1" fillId="0" borderId="3" xfId="0" applyFont="1" applyBorder="1" applyAlignment="1">
      <alignment horizontal="left" vertical="center"/>
    </xf>
    <xf numFmtId="0" fontId="1" fillId="0" borderId="3" xfId="0" applyFont="1" applyBorder="1" applyAlignment="1">
      <alignment horizontal="right" vertical="center"/>
    </xf>
    <xf numFmtId="0" fontId="2" fillId="0" borderId="3" xfId="0" applyFont="1" applyBorder="1" applyAlignment="1">
      <alignment horizontal="left" vertical="center"/>
    </xf>
    <xf numFmtId="0" fontId="2" fillId="0" borderId="3" xfId="0" applyFont="1" applyBorder="1" applyAlignment="1">
      <alignment horizontal="right" vertical="center"/>
    </xf>
    <xf numFmtId="3" fontId="2" fillId="0" borderId="3" xfId="0" applyNumberFormat="1" applyFont="1" applyBorder="1"/>
    <xf numFmtId="0" fontId="0" fillId="0" borderId="0" xfId="0" pivotButton="1"/>
    <xf numFmtId="0" fontId="0" fillId="0" borderId="0" xfId="0" applyAlignment="1">
      <alignment horizontal="left"/>
    </xf>
    <xf numFmtId="0" fontId="3" fillId="0" borderId="0" xfId="0" applyFont="1"/>
    <xf numFmtId="0" fontId="3" fillId="0" borderId="0" xfId="0" applyFont="1" applyAlignment="1">
      <alignment horizontal="left" vertical="center" indent="5"/>
    </xf>
    <xf numFmtId="1" fontId="0" fillId="0" borderId="0" xfId="0" applyNumberFormat="1"/>
    <xf numFmtId="0" fontId="4" fillId="0" borderId="0" xfId="0" applyFont="1"/>
    <xf numFmtId="10" fontId="0" fillId="0" borderId="0" xfId="0" applyNumberFormat="1"/>
    <xf numFmtId="0" fontId="0" fillId="0" borderId="4" xfId="0" applyBorder="1"/>
    <xf numFmtId="2" fontId="0" fillId="0" borderId="0" xfId="0" applyNumberFormat="1"/>
    <xf numFmtId="0" fontId="5" fillId="0" borderId="0" xfId="0" applyFont="1"/>
    <xf numFmtId="0" fontId="0" fillId="0" borderId="0" xfId="0" applyAlignment="1">
      <alignment wrapText="1"/>
    </xf>
    <xf numFmtId="0" fontId="0" fillId="2" borderId="0" xfId="0" applyFill="1"/>
    <xf numFmtId="0" fontId="8" fillId="0" borderId="0" xfId="0" applyFont="1" applyAlignment="1">
      <alignment horizontal="left" vertical="center" wrapText="1"/>
    </xf>
    <xf numFmtId="0" fontId="0" fillId="0" borderId="0" xfId="0" applyAlignment="1">
      <alignment horizontal="left" indent="1"/>
    </xf>
    <xf numFmtId="0" fontId="3" fillId="0" borderId="0" xfId="0" applyFont="1" applyAlignment="1">
      <alignment horizontal="justify" vertical="center"/>
    </xf>
    <xf numFmtId="9" fontId="0" fillId="0" borderId="0" xfId="0" applyNumberFormat="1" applyAlignment="1">
      <alignment wrapText="1"/>
    </xf>
    <xf numFmtId="10" fontId="0" fillId="3" borderId="0" xfId="0" applyNumberFormat="1" applyFill="1"/>
    <xf numFmtId="0" fontId="0" fillId="3" borderId="0" xfId="0" applyFill="1"/>
    <xf numFmtId="0" fontId="0" fillId="3" borderId="0" xfId="0" applyFill="1" applyAlignment="1">
      <alignment horizontal="left" indent="1"/>
    </xf>
    <xf numFmtId="0" fontId="0" fillId="4" borderId="0" xfId="0" applyFill="1" applyAlignment="1">
      <alignment horizontal="left"/>
    </xf>
    <xf numFmtId="0" fontId="0" fillId="5" borderId="0" xfId="0" applyFill="1"/>
    <xf numFmtId="0" fontId="7" fillId="2" borderId="0" xfId="0" applyFont="1" applyFill="1" applyAlignment="1">
      <alignment horizontal="center"/>
    </xf>
    <xf numFmtId="0" fontId="6" fillId="2" borderId="0" xfId="0" applyFont="1" applyFill="1" applyAlignment="1">
      <alignment horizontal="center"/>
    </xf>
  </cellXfs>
  <cellStyles count="1">
    <cellStyle name="Normal" xfId="0" builtinId="0"/>
  </cellStyles>
  <dxfs count="22">
    <dxf>
      <numFmt numFmtId="0" formatCode="General"/>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fill>
        <patternFill patternType="solid">
          <bgColor rgb="FFFFC000"/>
        </patternFill>
      </fill>
    </dxf>
    <dxf>
      <fill>
        <patternFill>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1" formatCode="0"/>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[Strategic-Sales-Operations-Performamce Dashboard.xlsx]2.1 Region-Wise Product Sales!PivotTable1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a:t>
            </a:r>
            <a:r>
              <a:rPr lang="en-US" baseline="0"/>
              <a:t>  PRODUCT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'2.1 Region-Wise Product Sales'!$B$3:$B$4</c:f>
              <c:strCache>
                <c:ptCount val="1"/>
                <c:pt idx="0">
                  <c:v>Books</c:v>
                </c:pt>
              </c:strCache>
            </c:strRef>
          </c:tx>
          <c:spPr>
            <a:solidFill>
              <a:schemeClr val="accent5">
                <a:shade val="53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Sales'!$B$5:$B$10</c:f>
              <c:numCache>
                <c:formatCode>General</c:formatCode>
                <c:ptCount val="5"/>
                <c:pt idx="0">
                  <c:v>84</c:v>
                </c:pt>
                <c:pt idx="1">
                  <c:v>394</c:v>
                </c:pt>
                <c:pt idx="2">
                  <c:v>464</c:v>
                </c:pt>
                <c:pt idx="3">
                  <c:v>423</c:v>
                </c:pt>
                <c:pt idx="4">
                  <c:v>350</c:v>
                </c:pt>
              </c:numCache>
            </c:numRef>
          </c:val>
          <c:extLst>
            <c:ext xmlns:c16="http://schemas.microsoft.com/office/drawing/2014/chart" uri="{C3380CC4-5D6E-409C-BE32-E72D297353CC}">
              <c16:uniqueId val="{00000000-DDF1-40F9-BFF0-9EC36B528FE1}"/>
            </c:ext>
          </c:extLst>
        </c:ser>
        <c:ser>
          <c:idx val="1"/>
          <c:order val="1"/>
          <c:tx>
            <c:strRef>
              <c:f>'2.1 Region-Wise Product Sales'!$C$3:$C$4</c:f>
              <c:strCache>
                <c:ptCount val="1"/>
                <c:pt idx="0">
                  <c:v>Electronics</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Sales'!$C$5:$C$10</c:f>
              <c:numCache>
                <c:formatCode>General</c:formatCode>
                <c:ptCount val="5"/>
                <c:pt idx="0">
                  <c:v>2662</c:v>
                </c:pt>
                <c:pt idx="1">
                  <c:v>365</c:v>
                </c:pt>
                <c:pt idx="2">
                  <c:v>6522</c:v>
                </c:pt>
                <c:pt idx="3">
                  <c:v>3938</c:v>
                </c:pt>
                <c:pt idx="4">
                  <c:v>1722</c:v>
                </c:pt>
              </c:numCache>
            </c:numRef>
          </c:val>
          <c:extLst>
            <c:ext xmlns:c16="http://schemas.microsoft.com/office/drawing/2014/chart" uri="{C3380CC4-5D6E-409C-BE32-E72D297353CC}">
              <c16:uniqueId val="{0000005B-CDB9-4633-B146-6B01517ECCAE}"/>
            </c:ext>
          </c:extLst>
        </c:ser>
        <c:ser>
          <c:idx val="2"/>
          <c:order val="2"/>
          <c:tx>
            <c:strRef>
              <c:f>'2.1 Region-Wise Product Sales'!$D$3:$D$4</c:f>
              <c:strCache>
                <c:ptCount val="1"/>
                <c:pt idx="0">
                  <c:v>Fashion</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Sales'!$D$5:$D$10</c:f>
              <c:numCache>
                <c:formatCode>General</c:formatCode>
                <c:ptCount val="5"/>
                <c:pt idx="0">
                  <c:v>210</c:v>
                </c:pt>
                <c:pt idx="1">
                  <c:v>711</c:v>
                </c:pt>
                <c:pt idx="2">
                  <c:v>788</c:v>
                </c:pt>
                <c:pt idx="3">
                  <c:v>1032</c:v>
                </c:pt>
                <c:pt idx="4">
                  <c:v>1131</c:v>
                </c:pt>
              </c:numCache>
            </c:numRef>
          </c:val>
          <c:extLst>
            <c:ext xmlns:c16="http://schemas.microsoft.com/office/drawing/2014/chart" uri="{C3380CC4-5D6E-409C-BE32-E72D297353CC}">
              <c16:uniqueId val="{0000005C-CDB9-4633-B146-6B01517ECCAE}"/>
            </c:ext>
          </c:extLst>
        </c:ser>
        <c:ser>
          <c:idx val="3"/>
          <c:order val="3"/>
          <c:tx>
            <c:strRef>
              <c:f>'2.1 Region-Wise Product Sales'!$E$3:$E$4</c:f>
              <c:strCache>
                <c:ptCount val="1"/>
                <c:pt idx="0">
                  <c:v>Home</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Sales'!$E$5:$E$10</c:f>
              <c:numCache>
                <c:formatCode>General</c:formatCode>
                <c:ptCount val="5"/>
                <c:pt idx="0">
                  <c:v>2063</c:v>
                </c:pt>
                <c:pt idx="1">
                  <c:v>741</c:v>
                </c:pt>
                <c:pt idx="2">
                  <c:v>2131</c:v>
                </c:pt>
                <c:pt idx="3">
                  <c:v>1881</c:v>
                </c:pt>
                <c:pt idx="4">
                  <c:v>4135</c:v>
                </c:pt>
              </c:numCache>
            </c:numRef>
          </c:val>
          <c:extLst>
            <c:ext xmlns:c16="http://schemas.microsoft.com/office/drawing/2014/chart" uri="{C3380CC4-5D6E-409C-BE32-E72D297353CC}">
              <c16:uniqueId val="{0000005D-CDB9-4633-B146-6B01517ECCAE}"/>
            </c:ext>
          </c:extLst>
        </c:ser>
        <c:ser>
          <c:idx val="4"/>
          <c:order val="4"/>
          <c:tx>
            <c:strRef>
              <c:f>'2.1 Region-Wise Product Sales'!$F$3:$F$4</c:f>
              <c:strCache>
                <c:ptCount val="1"/>
                <c:pt idx="0">
                  <c:v>Toys</c:v>
                </c:pt>
              </c:strCache>
            </c:strRef>
          </c:tx>
          <c:spPr>
            <a:solidFill>
              <a:schemeClr val="accent5">
                <a:tint val="54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Sales'!$F$5:$F$10</c:f>
              <c:numCache>
                <c:formatCode>General</c:formatCode>
                <c:ptCount val="5"/>
                <c:pt idx="0">
                  <c:v>437</c:v>
                </c:pt>
                <c:pt idx="1">
                  <c:v>1424</c:v>
                </c:pt>
                <c:pt idx="2">
                  <c:v>586</c:v>
                </c:pt>
                <c:pt idx="3">
                  <c:v>43</c:v>
                </c:pt>
                <c:pt idx="4">
                  <c:v>1021</c:v>
                </c:pt>
              </c:numCache>
            </c:numRef>
          </c:val>
          <c:extLst>
            <c:ext xmlns:c16="http://schemas.microsoft.com/office/drawing/2014/chart" uri="{C3380CC4-5D6E-409C-BE32-E72D297353CC}">
              <c16:uniqueId val="{0000005E-CDB9-4633-B146-6B01517ECCAE}"/>
            </c:ext>
          </c:extLst>
        </c:ser>
        <c:dLbls>
          <c:showLegendKey val="0"/>
          <c:showVal val="1"/>
          <c:showCatName val="0"/>
          <c:showSerName val="0"/>
          <c:showPercent val="0"/>
          <c:showBubbleSize val="0"/>
        </c:dLbls>
        <c:gapWidth val="150"/>
        <c:shape val="box"/>
        <c:axId val="1986834976"/>
        <c:axId val="1986836416"/>
        <c:axId val="0"/>
      </c:bar3DChart>
      <c:catAx>
        <c:axId val="1986834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836416"/>
        <c:crosses val="autoZero"/>
        <c:auto val="1"/>
        <c:lblAlgn val="ctr"/>
        <c:lblOffset val="100"/>
        <c:noMultiLvlLbl val="0"/>
      </c:catAx>
      <c:valAx>
        <c:axId val="1986836416"/>
        <c:scaling>
          <c:orientation val="minMax"/>
        </c:scaling>
        <c:delete val="1"/>
        <c:axPos val="l"/>
        <c:numFmt formatCode="General" sourceLinked="1"/>
        <c:majorTickMark val="out"/>
        <c:minorTickMark val="none"/>
        <c:tickLblPos val="nextTo"/>
        <c:crossAx val="19868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[Strategic-Sales-Operations-Performamce Dashboard.xlsx]2.2Orders by Delivery status!PivotTable2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Delivery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FF0000"/>
          </a:solidFill>
          <a:ln w="19050">
            <a:solidFill>
              <a:schemeClr val="lt1"/>
            </a:solidFill>
          </a:ln>
          <a:effectLst/>
        </c:spPr>
      </c:pivotFmt>
    </c:pivotFmts>
    <c:plotArea>
      <c:layout/>
      <c:doughnutChart>
        <c:varyColors val="1"/>
        <c:ser>
          <c:idx val="0"/>
          <c:order val="0"/>
          <c:tx>
            <c:strRef>
              <c:f>'2.2Orders by Delivery status'!$B$3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4-135F-4F77-B5BD-7BB2E465726B}"/>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2-135F-4F77-B5BD-7BB2E465726B}"/>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3-135F-4F77-B5BD-7BB2E465726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'2.2Orders by Delivery status'!$A$4:$A$7</c:f>
              <c:strCache>
                <c:ptCount val="3"/>
                <c:pt idx="0">
                  <c:v>Cancelled</c:v>
                </c:pt>
                <c:pt idx="1">
                  <c:v>Delivered</c:v>
                </c:pt>
                <c:pt idx="2">
                  <c:v>In Transit</c:v>
                </c:pt>
              </c:strCache>
            </c:strRef>
          </c:cat>
          <c:val>
            <c:numRef>
              <c:f>'2.2Orders by Delivery status'!$B$4:$B$7</c:f>
              <c:numCache>
                <c:formatCode>General</c:formatCode>
                <c:ptCount val="3"/>
                <c:pt idx="0">
                  <c:v>30</c:v>
                </c:pt>
                <c:pt idx="1">
                  <c:v>34</c:v>
                </c:pt>
                <c:pt idx="2">
                  <c:v>36</c:v>
                </c:pt>
              </c:numCache>
            </c:numRef>
          </c:val>
          <c:extLst>
            <c:ext xmlns:c16="http://schemas.microsoft.com/office/drawing/2014/chart" uri="{C3380CC4-5D6E-409C-BE32-E72D297353CC}">
              <c16:uniqueId val="{00000000-135F-4F77-B5BD-7BB2E465726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[Strategic-Sales-Operations-Performamce Dashboard.xlsx]2.3Regional Average Delivery Ti!PivotTable3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Regional</a:t>
            </a:r>
            <a:r>
              <a:rPr lang="en-US" sz="1600" b="1" baseline="0"/>
              <a:t> Average Delivery Time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'2.3Regional Average Delivery Ti'!$B$4</c:f>
              <c:strCache>
                <c:ptCount val="1"/>
                <c:pt idx="0">
                  <c:v>Total</c:v>
                </c:pt>
              </c:strCache>
            </c:strRef>
          </c:tx>
          <c:spPr>
            <a:solidFill>
              <a:schemeClr val="accent1">
                <a:lumMod val="5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'2.3Regional Average Delivery Ti'!$A$5:$A$10</c:f>
              <c:strCache>
                <c:ptCount val="5"/>
                <c:pt idx="0">
                  <c:v>Central</c:v>
                </c:pt>
                <c:pt idx="1">
                  <c:v>East</c:v>
                </c:pt>
                <c:pt idx="2">
                  <c:v>North</c:v>
                </c:pt>
                <c:pt idx="3">
                  <c:v>South</c:v>
                </c:pt>
                <c:pt idx="4">
                  <c:v>West</c:v>
                </c:pt>
              </c:strCache>
            </c:strRef>
          </c:cat>
          <c:val>
            <c:numRef>
              <c:f>'2.3Regional Average Delivery Ti'!$B$5:$B$10</c:f>
              <c:numCache>
                <c:formatCode>0</c:formatCode>
                <c:ptCount val="5"/>
                <c:pt idx="0">
                  <c:v>4.2</c:v>
                </c:pt>
                <c:pt idx="1">
                  <c:v>4.25</c:v>
                </c:pt>
                <c:pt idx="2">
                  <c:v>3.625</c:v>
                </c:pt>
                <c:pt idx="3">
                  <c:v>3.3333333333333335</c:v>
                </c:pt>
                <c:pt idx="4">
                  <c:v>3.4285714285714284</c:v>
                </c:pt>
              </c:numCache>
            </c:numRef>
          </c:val>
          <c:extLst>
            <c:ext xmlns:c16="http://schemas.microsoft.com/office/drawing/2014/chart" uri="{C3380CC4-5D6E-409C-BE32-E72D297353CC}">
              <c16:uniqueId val="{00000000-2EF2-4618-900E-8B4124197A37}"/>
            </c:ext>
          </c:extLst>
        </c:ser>
        <c:dLbls>
          <c:showLegendKey val="0"/>
          <c:showVal val="0"/>
          <c:showCatName val="0"/>
          <c:showSerName val="0"/>
          <c:showPercent val="0"/>
          <c:showBubbleSize val="0"/>
        </c:dLbls>
        <c:gapWidth val="182"/>
        <c:axId val="2122697216"/>
        <c:axId val="2122697696"/>
      </c:barChart>
      <c:catAx>
        <c:axId val="212269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2697696"/>
        <c:crosses val="autoZero"/>
        <c:auto val="1"/>
        <c:lblAlgn val="ctr"/>
        <c:lblOffset val="100"/>
        <c:noMultiLvlLbl val="0"/>
      </c:catAx>
      <c:valAx>
        <c:axId val="2122697696"/>
        <c:scaling>
          <c:orientation val="minMax"/>
        </c:scaling>
        <c:delete val="1"/>
        <c:axPos val="b"/>
        <c:numFmt formatCode="0" sourceLinked="1"/>
        <c:majorTickMark val="none"/>
        <c:minorTickMark val="none"/>
        <c:tickLblPos val="nextTo"/>
        <c:crossAx val="21226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[Strategic-Sales-Operations-Performamce Dashboard.xlsx]5.3Monthly Sales Trend!PivotTable12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TREND-2023</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'5.3Monthly Sales Trend'!$B$3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'5.3Monthly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'5.3Monthly Sales Trend'!$B$4:$B$16</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29CD-4D0E-BFCE-10CBA882B98E}"/>
            </c:ext>
          </c:extLst>
        </c:ser>
        <c:dLbls>
          <c:showLegendKey val="0"/>
          <c:showVal val="1"/>
          <c:showCatName val="0"/>
          <c:showSerName val="0"/>
          <c:showPercent val="0"/>
          <c:showBubbleSize val="0"/>
        </c:dLbls>
        <c:axId val="185479248"/>
        <c:axId val="185462928"/>
        <c:axId val="2041377584"/>
      </c:line3DChart>
      <c:catAx>
        <c:axId val="18547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462928"/>
        <c:crosses val="autoZero"/>
        <c:auto val="1"/>
        <c:lblAlgn val="ctr"/>
        <c:lblOffset val="100"/>
        <c:noMultiLvlLbl val="0"/>
      </c:catAx>
      <c:valAx>
        <c:axId val="185462928"/>
        <c:scaling>
          <c:orientation val="minMax"/>
        </c:scaling>
        <c:delete val="1"/>
        <c:axPos val="l"/>
        <c:numFmt formatCode="General" sourceLinked="1"/>
        <c:majorTickMark val="none"/>
        <c:minorTickMark val="none"/>
        <c:tickLblPos val="nextTo"/>
        <c:crossAx val="185479248"/>
        <c:crosses val="autoZero"/>
        <c:crossBetween val="between"/>
      </c:valAx>
      <c:serAx>
        <c:axId val="20413775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6292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 WISE</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v>HIGH</c:v>
          </c:tx>
          <c:spPr>
            <a:solidFill>
              <a:schemeClr val="accent2"/>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'5.3Condition Formatting'!$A$13:$A$17</c:f>
              <c:strCache>
                <c:ptCount val="5"/>
                <c:pt idx="0">
                  <c:v>North</c:v>
                </c:pt>
                <c:pt idx="1">
                  <c:v>West</c:v>
                </c:pt>
                <c:pt idx="2">
                  <c:v>South</c:v>
                </c:pt>
                <c:pt idx="3">
                  <c:v>Central</c:v>
                </c:pt>
                <c:pt idx="4">
                  <c:v>East</c:v>
                </c:pt>
              </c:strCache>
            </c:strRef>
          </c:cat>
          <c:val>
            <c:numRef>
              <c:f>'5.3Condition Formatting'!$D$4:$D$8</c:f>
              <c:numCache>
                <c:formatCode>General</c:formatCode>
                <c:ptCount val="5"/>
                <c:pt idx="0">
                  <c:v>10491</c:v>
                </c:pt>
                <c:pt idx="1">
                  <c:v>8359</c:v>
                </c:pt>
                <c:pt idx="2">
                  <c:v>7317</c:v>
                </c:pt>
                <c:pt idx="3">
                  <c:v>#N/A</c:v>
                </c:pt>
                <c:pt idx="4">
                  <c:v>#N/A</c:v>
                </c:pt>
              </c:numCache>
            </c:numRef>
          </c:val>
          <c:extLst>
            <c:ext xmlns:c16="http://schemas.microsoft.com/office/drawing/2014/chart" uri="{C3380CC4-5D6E-409C-BE32-E72D297353CC}">
              <c16:uniqueId val="{00000001-445C-4411-8968-C8962E33309D}"/>
            </c:ext>
          </c:extLst>
        </c:ser>
        <c:ser>
          <c:idx val="2"/>
          <c:order val="1"/>
          <c:tx>
            <c:v>LOW</c:v>
          </c:tx>
          <c:spPr>
            <a:solidFill>
              <a:schemeClr val="accent6">
                <a:lumMod val="60000"/>
                <a:lumOff val="40000"/>
              </a:schemeClr>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'5.3Condition Formatting'!$A$13:$A$17</c:f>
              <c:strCache>
                <c:ptCount val="5"/>
                <c:pt idx="0">
                  <c:v>North</c:v>
                </c:pt>
                <c:pt idx="1">
                  <c:v>West</c:v>
                </c:pt>
                <c:pt idx="2">
                  <c:v>South</c:v>
                </c:pt>
                <c:pt idx="3">
                  <c:v>Central</c:v>
                </c:pt>
                <c:pt idx="4">
                  <c:v>East</c:v>
                </c:pt>
              </c:strCache>
            </c:strRef>
          </c:cat>
          <c:val>
            <c:numRef>
              <c:f>'5.3Condition Formatting'!$C$4:$C$8</c:f>
              <c:numCache>
                <c:formatCode>General</c:formatCode>
                <c:ptCount val="5"/>
                <c:pt idx="0">
                  <c:v>#N/A</c:v>
                </c:pt>
                <c:pt idx="1">
                  <c:v>#N/A</c:v>
                </c:pt>
                <c:pt idx="2">
                  <c:v>#N/A</c:v>
                </c:pt>
                <c:pt idx="3">
                  <c:v>5456</c:v>
                </c:pt>
                <c:pt idx="4">
                  <c:v>3635</c:v>
                </c:pt>
              </c:numCache>
            </c:numRef>
          </c:val>
          <c:extLst>
            <c:ext xmlns:c16="http://schemas.microsoft.com/office/drawing/2014/chart" uri="{C3380CC4-5D6E-409C-BE32-E72D297353CC}">
              <c16:uniqueId val="{00000002-445C-4411-8968-C8962E33309D}"/>
            </c:ext>
          </c:extLst>
        </c:ser>
        <c:dLbls>
          <c:showLegendKey val="0"/>
          <c:showVal val="0"/>
          <c:showCatName val="0"/>
          <c:showSerName val="0"/>
          <c:showPercent val="0"/>
          <c:showBubbleSize val="0"/>
        </c:dLbls>
        <c:gapWidth val="150"/>
        <c:shape val="box"/>
        <c:axId val="373441120"/>
        <c:axId val="373323040"/>
        <c:axId val="0"/>
      </c:bar3DChart>
      <c:catAx>
        <c:axId val="37344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323040"/>
        <c:crosses val="autoZero"/>
        <c:auto val="1"/>
        <c:lblAlgn val="ctr"/>
        <c:lblOffset val="100"/>
        <c:noMultiLvlLbl val="0"/>
      </c:catAx>
      <c:valAx>
        <c:axId val="373323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44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[Strategic-Sales-Operations-Performamce Dashboard.xlsx]2.1 Region-Wise Product Sales!PivotTable1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a:t>
            </a:r>
            <a:r>
              <a:rPr lang="en-US" baseline="0"/>
              <a:t>  PRODUCT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'2.1 Region-Wise Product Sales'!$B$3:$B$4</c:f>
              <c:strCache>
                <c:ptCount val="1"/>
                <c:pt idx="0">
                  <c:v>Books</c:v>
                </c:pt>
              </c:strCache>
            </c:strRef>
          </c:tx>
          <c:spPr>
            <a:solidFill>
              <a:schemeClr val="accent5">
                <a:shade val="53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Sales'!$B$5:$B$10</c:f>
              <c:numCache>
                <c:formatCode>General</c:formatCode>
                <c:ptCount val="5"/>
                <c:pt idx="0">
                  <c:v>84</c:v>
                </c:pt>
                <c:pt idx="1">
                  <c:v>394</c:v>
                </c:pt>
                <c:pt idx="2">
                  <c:v>464</c:v>
                </c:pt>
                <c:pt idx="3">
                  <c:v>423</c:v>
                </c:pt>
                <c:pt idx="4">
                  <c:v>350</c:v>
                </c:pt>
              </c:numCache>
            </c:numRef>
          </c:val>
          <c:extLst>
            <c:ext xmlns:c16="http://schemas.microsoft.com/office/drawing/2014/chart" uri="{C3380CC4-5D6E-409C-BE32-E72D297353CC}">
              <c16:uniqueId val="{00000000-6602-49A0-866B-408C8B0AEFE0}"/>
            </c:ext>
          </c:extLst>
        </c:ser>
        <c:ser>
          <c:idx val="1"/>
          <c:order val="1"/>
          <c:tx>
            <c:strRef>
              <c:f>'2.1 Region-Wise Product Sales'!$C$3:$C$4</c:f>
              <c:strCache>
                <c:ptCount val="1"/>
                <c:pt idx="0">
                  <c:v>Electronics</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Sales'!$C$5:$C$10</c:f>
              <c:numCache>
                <c:formatCode>General</c:formatCode>
                <c:ptCount val="5"/>
                <c:pt idx="0">
                  <c:v>2662</c:v>
                </c:pt>
                <c:pt idx="1">
                  <c:v>365</c:v>
                </c:pt>
                <c:pt idx="2">
                  <c:v>6522</c:v>
                </c:pt>
                <c:pt idx="3">
                  <c:v>3938</c:v>
                </c:pt>
                <c:pt idx="4">
                  <c:v>1722</c:v>
                </c:pt>
              </c:numCache>
            </c:numRef>
          </c:val>
          <c:extLst>
            <c:ext xmlns:c16="http://schemas.microsoft.com/office/drawing/2014/chart" uri="{C3380CC4-5D6E-409C-BE32-E72D297353CC}">
              <c16:uniqueId val="{0000005B-0241-47FB-BAA3-52A378D53DF3}"/>
            </c:ext>
          </c:extLst>
        </c:ser>
        <c:ser>
          <c:idx val="2"/>
          <c:order val="2"/>
          <c:tx>
            <c:strRef>
              <c:f>'2.1 Region-Wise Product Sales'!$D$3:$D$4</c:f>
              <c:strCache>
                <c:ptCount val="1"/>
                <c:pt idx="0">
                  <c:v>Fashion</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Sales'!$D$5:$D$10</c:f>
              <c:numCache>
                <c:formatCode>General</c:formatCode>
                <c:ptCount val="5"/>
                <c:pt idx="0">
                  <c:v>210</c:v>
                </c:pt>
                <c:pt idx="1">
                  <c:v>711</c:v>
                </c:pt>
                <c:pt idx="2">
                  <c:v>788</c:v>
                </c:pt>
                <c:pt idx="3">
                  <c:v>1032</c:v>
                </c:pt>
                <c:pt idx="4">
                  <c:v>1131</c:v>
                </c:pt>
              </c:numCache>
            </c:numRef>
          </c:val>
          <c:extLst>
            <c:ext xmlns:c16="http://schemas.microsoft.com/office/drawing/2014/chart" uri="{C3380CC4-5D6E-409C-BE32-E72D297353CC}">
              <c16:uniqueId val="{0000005C-0241-47FB-BAA3-52A378D53DF3}"/>
            </c:ext>
          </c:extLst>
        </c:ser>
        <c:ser>
          <c:idx val="3"/>
          <c:order val="3"/>
          <c:tx>
            <c:strRef>
              <c:f>'2.1 Region-Wise Product Sales'!$E$3:$E$4</c:f>
              <c:strCache>
                <c:ptCount val="1"/>
                <c:pt idx="0">
                  <c:v>Home</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Sales'!$E$5:$E$10</c:f>
              <c:numCache>
                <c:formatCode>General</c:formatCode>
                <c:ptCount val="5"/>
                <c:pt idx="0">
                  <c:v>2063</c:v>
                </c:pt>
                <c:pt idx="1">
                  <c:v>741</c:v>
                </c:pt>
                <c:pt idx="2">
                  <c:v>2131</c:v>
                </c:pt>
                <c:pt idx="3">
                  <c:v>1881</c:v>
                </c:pt>
                <c:pt idx="4">
                  <c:v>4135</c:v>
                </c:pt>
              </c:numCache>
            </c:numRef>
          </c:val>
          <c:extLst>
            <c:ext xmlns:c16="http://schemas.microsoft.com/office/drawing/2014/chart" uri="{C3380CC4-5D6E-409C-BE32-E72D297353CC}">
              <c16:uniqueId val="{0000005D-0241-47FB-BAA3-52A378D53DF3}"/>
            </c:ext>
          </c:extLst>
        </c:ser>
        <c:ser>
          <c:idx val="4"/>
          <c:order val="4"/>
          <c:tx>
            <c:strRef>
              <c:f>'2.1 Region-Wise Product Sales'!$F$3:$F$4</c:f>
              <c:strCache>
                <c:ptCount val="1"/>
                <c:pt idx="0">
                  <c:v>Toys</c:v>
                </c:pt>
              </c:strCache>
            </c:strRef>
          </c:tx>
          <c:spPr>
            <a:solidFill>
              <a:schemeClr val="accent5">
                <a:tint val="54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Sales'!$F$5:$F$10</c:f>
              <c:numCache>
                <c:formatCode>General</c:formatCode>
                <c:ptCount val="5"/>
                <c:pt idx="0">
                  <c:v>437</c:v>
                </c:pt>
                <c:pt idx="1">
                  <c:v>1424</c:v>
                </c:pt>
                <c:pt idx="2">
                  <c:v>586</c:v>
                </c:pt>
                <c:pt idx="3">
                  <c:v>43</c:v>
                </c:pt>
                <c:pt idx="4">
                  <c:v>1021</c:v>
                </c:pt>
              </c:numCache>
            </c:numRef>
          </c:val>
          <c:extLst>
            <c:ext xmlns:c16="http://schemas.microsoft.com/office/drawing/2014/chart" uri="{C3380CC4-5D6E-409C-BE32-E72D297353CC}">
              <c16:uniqueId val="{0000005E-0241-47FB-BAA3-52A378D53DF3}"/>
            </c:ext>
          </c:extLst>
        </c:ser>
        <c:dLbls>
          <c:showLegendKey val="0"/>
          <c:showVal val="1"/>
          <c:showCatName val="0"/>
          <c:showSerName val="0"/>
          <c:showPercent val="0"/>
          <c:showBubbleSize val="0"/>
        </c:dLbls>
        <c:gapWidth val="150"/>
        <c:shape val="box"/>
        <c:axId val="1986834976"/>
        <c:axId val="1986836416"/>
        <c:axId val="0"/>
      </c:bar3DChart>
      <c:catAx>
        <c:axId val="1986834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836416"/>
        <c:crosses val="autoZero"/>
        <c:auto val="1"/>
        <c:lblAlgn val="ctr"/>
        <c:lblOffset val="100"/>
        <c:noMultiLvlLbl val="0"/>
      </c:catAx>
      <c:valAx>
        <c:axId val="1986836416"/>
        <c:scaling>
          <c:orientation val="minMax"/>
        </c:scaling>
        <c:delete val="1"/>
        <c:axPos val="l"/>
        <c:numFmt formatCode="General" sourceLinked="1"/>
        <c:majorTickMark val="out"/>
        <c:minorTickMark val="none"/>
        <c:tickLblPos val="nextTo"/>
        <c:crossAx val="19868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[Strategic-Sales-Operations-Performamce Dashboard.xlsx]5.3Monthly Sales Trend!PivotTable12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TREND-2023</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'5.3Monthly Sales Trend'!$B$3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'5.3Monthly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'5.3Monthly Sales Trend'!$B$4:$B$16</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E221-4DD5-8409-E3AC793031A0}"/>
            </c:ext>
          </c:extLst>
        </c:ser>
        <c:dLbls>
          <c:showLegendKey val="0"/>
          <c:showVal val="1"/>
          <c:showCatName val="0"/>
          <c:showSerName val="0"/>
          <c:showPercent val="0"/>
          <c:showBubbleSize val="0"/>
        </c:dLbls>
        <c:axId val="185479248"/>
        <c:axId val="185462928"/>
        <c:axId val="2041377584"/>
      </c:line3DChart>
      <c:catAx>
        <c:axId val="18547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462928"/>
        <c:crosses val="autoZero"/>
        <c:auto val="1"/>
        <c:lblAlgn val="ctr"/>
        <c:lblOffset val="100"/>
        <c:noMultiLvlLbl val="0"/>
      </c:catAx>
      <c:valAx>
        <c:axId val="185462928"/>
        <c:scaling>
          <c:orientation val="minMax"/>
        </c:scaling>
        <c:delete val="1"/>
        <c:axPos val="l"/>
        <c:numFmt formatCode="General" sourceLinked="1"/>
        <c:majorTickMark val="none"/>
        <c:minorTickMark val="none"/>
        <c:tickLblPos val="nextTo"/>
        <c:crossAx val="185479248"/>
        <c:crosses val="autoZero"/>
        <c:crossBetween val="between"/>
      </c:valAx>
      <c:serAx>
        <c:axId val="2041377584"/>
        <c:scaling>
          <c:orientation val="minMax"/>
        </c:scaling>
        <c:delete val="1"/>
        <c:axPos val="b"/>
        <c:majorTickMark val="out"/>
        <c:minorTickMark val="none"/>
        <c:tickLblPos val="nextTo"/>
        <c:crossAx val="18546292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[Strategic-Sales-Operations-Performamce Dashboard.xlsx]2.3Regional Average Delivery Ti!PivotTable3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Regional</a:t>
            </a:r>
            <a:r>
              <a:rPr lang="en-US" sz="1600" b="1" baseline="0"/>
              <a:t> Average Delivery Time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'2.3Regional Average Delivery Ti'!$B$4</c:f>
              <c:strCache>
                <c:ptCount val="1"/>
                <c:pt idx="0">
                  <c:v>Total</c:v>
                </c:pt>
              </c:strCache>
            </c:strRef>
          </c:tx>
          <c:spPr>
            <a:solidFill>
              <a:schemeClr val="accent1">
                <a:lumMod val="5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'2.3Regional Average Delivery Ti'!$A$5:$A$10</c:f>
              <c:strCache>
                <c:ptCount val="5"/>
                <c:pt idx="0">
                  <c:v>Central</c:v>
                </c:pt>
                <c:pt idx="1">
                  <c:v>East</c:v>
                </c:pt>
                <c:pt idx="2">
                  <c:v>North</c:v>
                </c:pt>
                <c:pt idx="3">
                  <c:v>South</c:v>
                </c:pt>
                <c:pt idx="4">
                  <c:v>West</c:v>
                </c:pt>
              </c:strCache>
            </c:strRef>
          </c:cat>
          <c:val>
            <c:numRef>
              <c:f>'2.3Regional Average Delivery Ti'!$B$5:$B$10</c:f>
              <c:numCache>
                <c:formatCode>0</c:formatCode>
                <c:ptCount val="5"/>
                <c:pt idx="0">
                  <c:v>4.2</c:v>
                </c:pt>
                <c:pt idx="1">
                  <c:v>4.25</c:v>
                </c:pt>
                <c:pt idx="2">
                  <c:v>3.625</c:v>
                </c:pt>
                <c:pt idx="3">
                  <c:v>3.3333333333333335</c:v>
                </c:pt>
                <c:pt idx="4">
                  <c:v>3.4285714285714284</c:v>
                </c:pt>
              </c:numCache>
            </c:numRef>
          </c:val>
          <c:extLst>
            <c:ext xmlns:c16="http://schemas.microsoft.com/office/drawing/2014/chart" uri="{C3380CC4-5D6E-409C-BE32-E72D297353CC}">
              <c16:uniqueId val="{00000000-7CEE-49A9-9934-9CC93DA95677}"/>
            </c:ext>
          </c:extLst>
        </c:ser>
        <c:dLbls>
          <c:showLegendKey val="0"/>
          <c:showVal val="0"/>
          <c:showCatName val="0"/>
          <c:showSerName val="0"/>
          <c:showPercent val="0"/>
          <c:showBubbleSize val="0"/>
        </c:dLbls>
        <c:gapWidth val="182"/>
        <c:axId val="2122697216"/>
        <c:axId val="2122697696"/>
      </c:barChart>
      <c:catAx>
        <c:axId val="212269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2697696"/>
        <c:crosses val="autoZero"/>
        <c:auto val="1"/>
        <c:lblAlgn val="ctr"/>
        <c:lblOffset val="100"/>
        <c:noMultiLvlLbl val="0"/>
      </c:catAx>
      <c:valAx>
        <c:axId val="2122697696"/>
        <c:scaling>
          <c:orientation val="minMax"/>
        </c:scaling>
        <c:delete val="1"/>
        <c:axPos val="b"/>
        <c:numFmt formatCode="0" sourceLinked="1"/>
        <c:majorTickMark val="none"/>
        <c:minorTickMark val="none"/>
        <c:tickLblPos val="nextTo"/>
        <c:crossAx val="21226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[Strategic-Sales-Operations-Performamce Dashboard.xlsx]2.2Orders by Delivery status!PivotTable2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Delivery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0000"/>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rgbClr val="FFC000"/>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0000"/>
          </a:solidFill>
          <a:ln w="19050">
            <a:solidFill>
              <a:schemeClr val="lt1"/>
            </a:solidFill>
          </a:ln>
          <a:effectLst/>
        </c:spPr>
      </c:pivotFmt>
      <c:pivotFmt>
        <c:idx val="10"/>
        <c:spPr>
          <a:solidFill>
            <a:srgbClr val="92D050"/>
          </a:solidFill>
          <a:ln w="19050">
            <a:solidFill>
              <a:schemeClr val="lt1"/>
            </a:solidFill>
          </a:ln>
          <a:effectLst/>
        </c:spPr>
      </c:pivotFmt>
      <c:pivotFmt>
        <c:idx val="11"/>
        <c:spPr>
          <a:solidFill>
            <a:srgbClr val="FFC000"/>
          </a:solidFill>
          <a:ln w="19050">
            <a:solidFill>
              <a:schemeClr val="lt1"/>
            </a:solidFill>
          </a:ln>
          <a:effectLst/>
        </c:spPr>
      </c:pivotFmt>
    </c:pivotFmts>
    <c:plotArea>
      <c:layout/>
      <c:doughnutChart>
        <c:varyColors val="1"/>
        <c:ser>
          <c:idx val="0"/>
          <c:order val="0"/>
          <c:tx>
            <c:strRef>
              <c:f>'2.2Orders by Delivery status'!$B$3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9828-4E1F-A0D8-60A0DB640DA9}"/>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9828-4E1F-A0D8-60A0DB640DA9}"/>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9828-4E1F-A0D8-60A0DB640D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'2.2Orders by Delivery status'!$A$4:$A$7</c:f>
              <c:strCache>
                <c:ptCount val="3"/>
                <c:pt idx="0">
                  <c:v>Cancelled</c:v>
                </c:pt>
                <c:pt idx="1">
                  <c:v>Delivered</c:v>
                </c:pt>
                <c:pt idx="2">
                  <c:v>In Transit</c:v>
                </c:pt>
              </c:strCache>
            </c:strRef>
          </c:cat>
          <c:val>
            <c:numRef>
              <c:f>'2.2Orders by Delivery status'!$B$4:$B$7</c:f>
              <c:numCache>
                <c:formatCode>General</c:formatCode>
                <c:ptCount val="3"/>
                <c:pt idx="0">
                  <c:v>30</c:v>
                </c:pt>
                <c:pt idx="1">
                  <c:v>34</c:v>
                </c:pt>
                <c:pt idx="2">
                  <c:v>36</c:v>
                </c:pt>
              </c:numCache>
            </c:numRef>
          </c:val>
          <c:extLst>
            <c:ext xmlns:c16="http://schemas.microsoft.com/office/drawing/2014/chart" uri="{C3380CC4-5D6E-409C-BE32-E72D297353CC}">
              <c16:uniqueId val="{00000006-9828-4E1F-A0D8-60A0DB640DA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220980</xdr:colOff>
      <xdr:row>10</xdr:row>
      <xdr:rowOff>179070</xdr:rowOff>
    </xdr:from>
    <xdr:to>
      <xdr:col>6</xdr:col>
      <xdr:colOff>457200</xdr:colOff>
      <xdr:row>25</xdr:row>
      <xdr:rowOff>179070</xdr:rowOff>
    </xdr:to>
    <xdr:graphicFrame macro="">
      <xdr:nvGraphicFramePr>
        <xdr:cNvPr id="2" name="Chart 1">
          <a:extLst>
            <a:ext uri="{FF2B5EF4-FFF2-40B4-BE49-F238E27FC236}">
              <a16:creationId xmlns:a16="http://schemas.microsoft.com/office/drawing/2014/main" id="{2A9B4597-1D5E-3503-1E42-7346296D6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7</xdr:row>
      <xdr:rowOff>175260</xdr:rowOff>
    </xdr:from>
    <xdr:to>
      <xdr:col>4</xdr:col>
      <xdr:colOff>403860</xdr:colOff>
      <xdr:row>22</xdr:row>
      <xdr:rowOff>26670</xdr:rowOff>
    </xdr:to>
    <xdr:graphicFrame macro="">
      <xdr:nvGraphicFramePr>
        <xdr:cNvPr id="3" name="Chart 2">
          <a:extLst>
            <a:ext uri="{FF2B5EF4-FFF2-40B4-BE49-F238E27FC236}">
              <a16:creationId xmlns:a16="http://schemas.microsoft.com/office/drawing/2014/main" id="{3982CD82-F819-9447-6C5B-65E83D3EB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236220</xdr:colOff>
      <xdr:row>12</xdr:row>
      <xdr:rowOff>11430</xdr:rowOff>
    </xdr:from>
    <xdr:to>
      <xdr:col>4</xdr:col>
      <xdr:colOff>472440</xdr:colOff>
      <xdr:row>27</xdr:row>
      <xdr:rowOff>11430</xdr:rowOff>
    </xdr:to>
    <xdr:graphicFrame macro="">
      <xdr:nvGraphicFramePr>
        <xdr:cNvPr id="2" name="Chart 1">
          <a:extLst>
            <a:ext uri="{FF2B5EF4-FFF2-40B4-BE49-F238E27FC236}">
              <a16:creationId xmlns:a16="http://schemas.microsoft.com/office/drawing/2014/main" id="{97EF32CC-7A3E-2A8C-DDCB-149C22B1F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1</xdr:row>
      <xdr:rowOff>102870</xdr:rowOff>
    </xdr:from>
    <xdr:to>
      <xdr:col>9</xdr:col>
      <xdr:colOff>533400</xdr:colOff>
      <xdr:row>16</xdr:row>
      <xdr:rowOff>102870</xdr:rowOff>
    </xdr:to>
    <xdr:graphicFrame macro="">
      <xdr:nvGraphicFramePr>
        <xdr:cNvPr id="2" name="Chart 1">
          <a:extLst>
            <a:ext uri="{FF2B5EF4-FFF2-40B4-BE49-F238E27FC236}">
              <a16:creationId xmlns:a16="http://schemas.microsoft.com/office/drawing/2014/main" id="{F453AC7F-3A01-CC23-F5C6-BA2BF1A4F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381000</xdr:colOff>
      <xdr:row>4</xdr:row>
      <xdr:rowOff>163830</xdr:rowOff>
    </xdr:from>
    <xdr:to>
      <xdr:col>13</xdr:col>
      <xdr:colOff>76200</xdr:colOff>
      <xdr:row>19</xdr:row>
      <xdr:rowOff>163830</xdr:rowOff>
    </xdr:to>
    <xdr:graphicFrame macro="">
      <xdr:nvGraphicFramePr>
        <xdr:cNvPr id="8" name="Chart 7">
          <a:extLst>
            <a:ext uri="{FF2B5EF4-FFF2-40B4-BE49-F238E27FC236}">
              <a16:creationId xmlns:a16="http://schemas.microsoft.com/office/drawing/2014/main" id="{D47C15F6-AC03-B303-FC18-75BF63491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137160</xdr:colOff>
      <xdr:row>10</xdr:row>
      <xdr:rowOff>167640</xdr:rowOff>
    </xdr:from>
    <xdr:to>
      <xdr:col>10</xdr:col>
      <xdr:colOff>441960</xdr:colOff>
      <xdr:row>25</xdr:row>
      <xdr:rowOff>167640</xdr:rowOff>
    </xdr:to>
    <xdr:graphicFrame macro="">
      <xdr:nvGraphicFramePr>
        <xdr:cNvPr id="2" name="Chart 1">
          <a:extLst>
            <a:ext uri="{FF2B5EF4-FFF2-40B4-BE49-F238E27FC236}">
              <a16:creationId xmlns:a16="http://schemas.microsoft.com/office/drawing/2014/main" id="{2F96F29F-1328-449E-BA01-AAFC9B8B9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106680</xdr:colOff>
      <xdr:row>11</xdr:row>
      <xdr:rowOff>7620</xdr:rowOff>
    </xdr:from>
    <xdr:to>
      <xdr:col>18</xdr:col>
      <xdr:colOff>411480</xdr:colOff>
      <xdr:row>26</xdr:row>
      <xdr:rowOff>7620</xdr:rowOff>
    </xdr:to>
    <xdr:graphicFrame macro="">
      <xdr:nvGraphicFramePr>
        <xdr:cNvPr id="3" name="Chart 2">
          <a:extLst>
            <a:ext uri="{FF2B5EF4-FFF2-40B4-BE49-F238E27FC236}">
              <a16:creationId xmlns:a16="http://schemas.microsoft.com/office/drawing/2014/main" id="{2AB6FD82-EB0A-41BB-97C9-0C756943C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152400</xdr:colOff>
      <xdr:row>26</xdr:row>
      <xdr:rowOff>137160</xdr:rowOff>
    </xdr:from>
    <xdr:to>
      <xdr:col>10</xdr:col>
      <xdr:colOff>457200</xdr:colOff>
      <xdr:row>41</xdr:row>
      <xdr:rowOff>137160</xdr:rowOff>
    </xdr:to>
    <xdr:graphicFrame macro="">
      <xdr:nvGraphicFramePr>
        <xdr:cNvPr id="4" name="Chart 3">
          <a:extLst>
            <a:ext uri="{FF2B5EF4-FFF2-40B4-BE49-F238E27FC236}">
              <a16:creationId xmlns:a16="http://schemas.microsoft.com/office/drawing/2014/main" id="{D92A2896-42CD-44FE-821B-5070767A6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106680</xdr:colOff>
      <xdr:row>26</xdr:row>
      <xdr:rowOff>175260</xdr:rowOff>
    </xdr:from>
    <xdr:to>
      <xdr:col>16</xdr:col>
      <xdr:colOff>556260</xdr:colOff>
      <xdr:row>41</xdr:row>
      <xdr:rowOff>26670</xdr:rowOff>
    </xdr:to>
    <xdr:graphicFrame macro="">
      <xdr:nvGraphicFramePr>
        <xdr:cNvPr id="5" name="Chart 4">
          <a:extLst>
            <a:ext uri="{FF2B5EF4-FFF2-40B4-BE49-F238E27FC236}">
              <a16:creationId xmlns:a16="http://schemas.microsoft.com/office/drawing/2014/main" id="{1D65D955-42E5-4076-950A-92F0A4B1C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228600</xdr:colOff>
      <xdr:row>19</xdr:row>
      <xdr:rowOff>91440</xdr:rowOff>
    </xdr:from>
    <xdr:to>
      <xdr:col>23</xdr:col>
      <xdr:colOff>190500</xdr:colOff>
      <xdr:row>24</xdr:row>
      <xdr:rowOff>175260</xdr:rowOff>
    </xdr:to>
    <xdr:sp macro="" textlink="G120">
      <xdr:nvSpPr>
        <xdr:cNvPr id="6" name="Rectangle: Rounded Corners 5">
          <a:extLst>
            <a:ext uri="{FF2B5EF4-FFF2-40B4-BE49-F238E27FC236}">
              <a16:creationId xmlns:a16="http://schemas.microsoft.com/office/drawing/2014/main" id="{AE6254F8-6EE6-8387-F257-2EFD6250EAC4}"/>
            </a:ext>
          </a:extLst>
        </xdr:cNvPr>
        <xdr:cNvSpPr/>
      </xdr:nvSpPr>
      <xdr:spPr>
        <a:xfrm>
          <a:off x="11811000" y="3566160"/>
          <a:ext cx="240030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algn="l"/>
          <a:fld id="{18F8A0BB-1FBE-4854-A993-1C4D66DF8711}" type="TxLink">
            <a:rPr lang="en-US" sz="2000" b="0" i="0" u="none" strike="noStrike">
              <a:solidFill>
                <a:srgbClr val="000000"/>
              </a:solidFill>
              <a:latin typeface="Calibri"/>
              <a:ea typeface="Calibri"/>
              <a:cs typeface="Calibri"/>
            </a:rPr>
            <a:pPr algn="l"/>
            <a:t>Central-5456
East-3635
North-10491</a:t>
          </a:fld>
          <a:endParaRPr lang="en-US" sz="2000"/>
        </a:p>
      </xdr:txBody>
    </xdr:sp>
    <xdr:clientData/>
  </xdr:twoCellAnchor>
  <xdr:twoCellAnchor editAs="oneCell">
    <xdr:from>
      <xdr:col>0</xdr:col>
      <xdr:colOff>99060</xdr:colOff>
      <xdr:row>10</xdr:row>
      <xdr:rowOff>167641</xdr:rowOff>
    </xdr:from>
    <xdr:to>
      <xdr:col>3</xdr:col>
      <xdr:colOff>99060</xdr:colOff>
      <xdr:row>20</xdr:row>
      <xdr:rowOff>60961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CF4DFC9-8E86-0E77-7E1D-31EFFAB806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060" y="1996441"/>
              <a:ext cx="182880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20</xdr:row>
      <xdr:rowOff>114301</xdr:rowOff>
    </xdr:from>
    <xdr:to>
      <xdr:col>3</xdr:col>
      <xdr:colOff>99060</xdr:colOff>
      <xdr:row>29</xdr:row>
      <xdr:rowOff>152401</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66F78F94-76DF-6305-C33A-7B7CB7C8B41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9060" y="3771901"/>
              <a:ext cx="182880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30</xdr:row>
      <xdr:rowOff>60961</xdr:rowOff>
    </xdr:from>
    <xdr:to>
      <xdr:col>3</xdr:col>
      <xdr:colOff>106680</xdr:colOff>
      <xdr:row>36</xdr:row>
      <xdr:rowOff>137161</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6A69BEFD-75E4-78C1-80DA-885ACD2C8BEF}"/>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06680" y="5547361"/>
              <a:ext cx="182880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198119</xdr:colOff>
      <xdr:row>13</xdr:row>
      <xdr:rowOff>99059</xdr:rowOff>
    </xdr:from>
    <xdr:to>
      <xdr:col>22</xdr:col>
      <xdr:colOff>243838</xdr:colOff>
      <xdr:row>13</xdr:row>
      <xdr:rowOff>144778</xdr:rowOff>
    </xdr:to>
    <xdr:sp macro="" textlink="">
      <xdr:nvSpPr>
        <xdr:cNvPr id="10" name="TextBox 9">
          <a:extLst>
            <a:ext uri="{FF2B5EF4-FFF2-40B4-BE49-F238E27FC236}">
              <a16:creationId xmlns:a16="http://schemas.microsoft.com/office/drawing/2014/main" id="{BF4BAF24-A5C6-7AE3-1749-06827969C08A}"/>
            </a:ext>
          </a:extLst>
        </xdr:cNvPr>
        <xdr:cNvSpPr txBox="1"/>
      </xdr:nvSpPr>
      <xdr:spPr>
        <a:xfrm>
          <a:off x="13609319" y="2476499"/>
          <a:ext cx="45719" cy="4571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a:t>
          </a:r>
          <a:endParaRPr lang="en-US" sz="2000" b="1"/>
        </a:p>
      </xdr:txBody>
    </xdr:sp>
    <xdr:clientData/>
  </xdr:twoCellAnchor>
  <xdr:twoCellAnchor>
    <xdr:from>
      <xdr:col>29</xdr:col>
      <xdr:colOff>541019</xdr:colOff>
      <xdr:row>24</xdr:row>
      <xdr:rowOff>15239</xdr:rowOff>
    </xdr:from>
    <xdr:to>
      <xdr:col>29</xdr:col>
      <xdr:colOff>586738</xdr:colOff>
      <xdr:row>24</xdr:row>
      <xdr:rowOff>60958</xdr:rowOff>
    </xdr:to>
    <xdr:sp macro="" textlink="">
      <xdr:nvSpPr>
        <xdr:cNvPr id="14" name="TextBox 13">
          <a:extLst>
            <a:ext uri="{FF2B5EF4-FFF2-40B4-BE49-F238E27FC236}">
              <a16:creationId xmlns:a16="http://schemas.microsoft.com/office/drawing/2014/main" id="{F73BA99F-A311-9154-FA64-5DDD909DD913}"/>
            </a:ext>
          </a:extLst>
        </xdr:cNvPr>
        <xdr:cNvSpPr txBox="1"/>
      </xdr:nvSpPr>
      <xdr:spPr>
        <a:xfrm flipH="1" flipV="1">
          <a:off x="18653759" y="4404359"/>
          <a:ext cx="45719" cy="4571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a:solidFill>
              <a:schemeClr val="tx1"/>
            </a:solidFill>
          </a:endParaRPr>
        </a:p>
      </xdr:txBody>
    </xdr:sp>
    <xdr:clientData/>
  </xdr:twoCellAnchor>
  <xdr:twoCellAnchor>
    <xdr:from>
      <xdr:col>21</xdr:col>
      <xdr:colOff>487680</xdr:colOff>
      <xdr:row>11</xdr:row>
      <xdr:rowOff>152400</xdr:rowOff>
    </xdr:from>
    <xdr:to>
      <xdr:col>23</xdr:col>
      <xdr:colOff>998220</xdr:colOff>
      <xdr:row>17</xdr:row>
      <xdr:rowOff>167640</xdr:rowOff>
    </xdr:to>
    <xdr:sp macro="" textlink="R120">
      <xdr:nvSpPr>
        <xdr:cNvPr id="20" name="Rectangle: Rounded Corners 19">
          <a:extLst>
            <a:ext uri="{FF2B5EF4-FFF2-40B4-BE49-F238E27FC236}">
              <a16:creationId xmlns:a16="http://schemas.microsoft.com/office/drawing/2014/main" id="{A2E986A4-3013-5437-52EF-391B68D1F17A}"/>
            </a:ext>
          </a:extLst>
        </xdr:cNvPr>
        <xdr:cNvSpPr/>
      </xdr:nvSpPr>
      <xdr:spPr>
        <a:xfrm>
          <a:off x="13289280" y="2164080"/>
          <a:ext cx="1729740" cy="1112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963535F-0887-4175-B0C2-821E4D2F846E}" type="TxLink">
            <a:rPr lang="en-US" sz="1100" b="0" i="0" u="none" strike="noStrike">
              <a:solidFill>
                <a:srgbClr val="000000"/>
              </a:solidFill>
              <a:latin typeface="Calibri"/>
              <a:ea typeface="Calibri"/>
              <a:cs typeface="Calibri"/>
            </a:rPr>
            <a:pPr algn="l"/>
            <a:t>% Fast Delivery --0.323529411764706</a:t>
          </a:fld>
          <a:endParaRPr lang="en-US" sz="1600">
            <a:solidFill>
              <a:schemeClr val="tx1"/>
            </a:solidFill>
          </a:endParaRPr>
        </a:p>
      </xdr:txBody>
    </xdr:sp>
    <xdr:clientData/>
  </xdr:twoCellAnchor>
  <xdr:twoCellAnchor>
    <xdr:from>
      <xdr:col>18</xdr:col>
      <xdr:colOff>502920</xdr:colOff>
      <xdr:row>12</xdr:row>
      <xdr:rowOff>30480</xdr:rowOff>
    </xdr:from>
    <xdr:to>
      <xdr:col>21</xdr:col>
      <xdr:colOff>358140</xdr:colOff>
      <xdr:row>17</xdr:row>
      <xdr:rowOff>152400</xdr:rowOff>
    </xdr:to>
    <xdr:sp macro="" textlink="$W$120">
      <xdr:nvSpPr>
        <xdr:cNvPr id="21" name="Rectangle: Rounded Corners 20">
          <a:extLst>
            <a:ext uri="{FF2B5EF4-FFF2-40B4-BE49-F238E27FC236}">
              <a16:creationId xmlns:a16="http://schemas.microsoft.com/office/drawing/2014/main" id="{75FDA129-8B5B-E722-9497-EDED3A29C52A}"/>
            </a:ext>
          </a:extLst>
        </xdr:cNvPr>
        <xdr:cNvSpPr/>
      </xdr:nvSpPr>
      <xdr:spPr>
        <a:xfrm>
          <a:off x="11475720" y="2225040"/>
          <a:ext cx="1684020" cy="1036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DB126E7-1B09-4879-830B-5BB9DB2B5CF0}" type="TxLink">
            <a:rPr lang="en-US" sz="1800" b="0" i="0" u="none" strike="noStrike">
              <a:solidFill>
                <a:srgbClr val="000000"/>
              </a:solidFill>
              <a:latin typeface="Calibri"/>
              <a:ea typeface="Calibri"/>
              <a:cs typeface="Calibri"/>
            </a:rPr>
            <a:pPr algn="l"/>
            <a:t>Total Revnue-35258</a:t>
          </a:fld>
          <a:endParaRPr lang="en-US" sz="1800"/>
        </a:p>
      </xdr:txBody>
    </xdr:sp>
    <xdr:clientData/>
  </xdr:twoCellAnchor>
  <xdr:twoCellAnchor>
    <xdr:from>
      <xdr:col>17</xdr:col>
      <xdr:colOff>167640</xdr:colOff>
      <xdr:row>27</xdr:row>
      <xdr:rowOff>30480</xdr:rowOff>
    </xdr:from>
    <xdr:to>
      <xdr:col>20</xdr:col>
      <xdr:colOff>388620</xdr:colOff>
      <xdr:row>32</xdr:row>
      <xdr:rowOff>167640</xdr:rowOff>
    </xdr:to>
    <xdr:sp macro="" textlink="K97">
      <xdr:nvSpPr>
        <xdr:cNvPr id="11" name="Rectangle: Rounded Corners 10">
          <a:extLst>
            <a:ext uri="{FF2B5EF4-FFF2-40B4-BE49-F238E27FC236}">
              <a16:creationId xmlns:a16="http://schemas.microsoft.com/office/drawing/2014/main" id="{9D9992FC-D901-1C2E-30C8-9ABAC50F9E57}"/>
            </a:ext>
          </a:extLst>
        </xdr:cNvPr>
        <xdr:cNvSpPr/>
      </xdr:nvSpPr>
      <xdr:spPr>
        <a:xfrm>
          <a:off x="10530840" y="4968240"/>
          <a:ext cx="2049780" cy="1051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FCD1A11-5C03-41B8-BF41-59002AA439DB}" type="TxLink">
            <a:rPr lang="en-US" sz="1600" b="0" i="0" u="none" strike="noStrike">
              <a:solidFill>
                <a:srgbClr val="000000"/>
              </a:solidFill>
              <a:latin typeface="Calibri"/>
              <a:ea typeface="Calibri"/>
              <a:cs typeface="Calibri"/>
            </a:rPr>
            <a:pPr algn="l"/>
            <a:t>Highest Selling Produsts by Units
Leg Set-8</a:t>
          </a:fld>
          <a:endParaRPr lang="en-US" sz="1600"/>
        </a:p>
      </xdr:txBody>
    </xdr:sp>
    <xdr:clientData/>
  </xdr:twoCellAnchor>
  <xdr:twoCellAnchor>
    <xdr:from>
      <xdr:col>21</xdr:col>
      <xdr:colOff>68580</xdr:colOff>
      <xdr:row>27</xdr:row>
      <xdr:rowOff>15240</xdr:rowOff>
    </xdr:from>
    <xdr:to>
      <xdr:col>23</xdr:col>
      <xdr:colOff>922020</xdr:colOff>
      <xdr:row>33</xdr:row>
      <xdr:rowOff>15240</xdr:rowOff>
    </xdr:to>
    <xdr:sp macro="" textlink="X120">
      <xdr:nvSpPr>
        <xdr:cNvPr id="12" name="Rectangle: Rounded Corners 11">
          <a:extLst>
            <a:ext uri="{FF2B5EF4-FFF2-40B4-BE49-F238E27FC236}">
              <a16:creationId xmlns:a16="http://schemas.microsoft.com/office/drawing/2014/main" id="{89FC8519-83D1-6366-F945-331E9C2B4539}"/>
            </a:ext>
          </a:extLst>
        </xdr:cNvPr>
        <xdr:cNvSpPr/>
      </xdr:nvSpPr>
      <xdr:spPr>
        <a:xfrm>
          <a:off x="12870180" y="4953000"/>
          <a:ext cx="2072640" cy="1097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26ABF20-FE0E-49B9-B845-C115E3EAAB7C}" type="TxLink">
            <a:rPr lang="en-US" sz="1600" b="0" i="0" u="none" strike="noStrike">
              <a:solidFill>
                <a:srgbClr val="000000"/>
              </a:solidFill>
              <a:latin typeface="Calibri"/>
              <a:ea typeface="Calibri"/>
              <a:cs typeface="Calibri"/>
            </a:rPr>
            <a:pPr algn="l"/>
            <a:t>Highest-Selling product by Revenue
Smartphone-9644</a:t>
          </a:fld>
          <a:endParaRPr lang="en-US" sz="1600"/>
        </a:p>
      </xdr:txBody>
    </xdr:sp>
    <xdr:clientData/>
  </xdr:twoCellAnchor>
  <xdr:twoCellAnchor editAs="oneCell">
    <xdr:from>
      <xdr:col>0</xdr:col>
      <xdr:colOff>137160</xdr:colOff>
      <xdr:row>37</xdr:row>
      <xdr:rowOff>30481</xdr:rowOff>
    </xdr:from>
    <xdr:to>
      <xdr:col>3</xdr:col>
      <xdr:colOff>99060</xdr:colOff>
      <xdr:row>42</xdr:row>
      <xdr:rowOff>76201</xdr:rowOff>
    </xdr:to>
    <mc:AlternateContent xmlns:mc="http://schemas.openxmlformats.org/markup-compatibility/2006" xmlns:a14="http://schemas.microsoft.com/office/drawing/2010/main">
      <mc:Choice Requires="a14">
        <xdr:graphicFrame macro="">
          <xdr:nvGraphicFramePr>
            <xdr:cNvPr id="13" name="is cancel">
              <a:extLst>
                <a:ext uri="{FF2B5EF4-FFF2-40B4-BE49-F238E27FC236}">
                  <a16:creationId xmlns:a16="http://schemas.microsoft.com/office/drawing/2014/main" id="{12BBD00C-F866-B5CD-F00A-DC334B7C3C3B}"/>
                </a:ext>
              </a:extLst>
            </xdr:cNvPr>
            <xdr:cNvGraphicFramePr/>
          </xdr:nvGraphicFramePr>
          <xdr:xfrm>
            <a:off x="0" y="0"/>
            <a:ext cx="0" cy="0"/>
          </xdr:xfrm>
          <a:graphic>
            <a:graphicData uri="http://schemas.microsoft.com/office/drawing/2010/slicer">
              <sle:slicer xmlns:sle="http://schemas.microsoft.com/office/drawing/2010/slicer" name="is cancel"/>
            </a:graphicData>
          </a:graphic>
        </xdr:graphicFrame>
      </mc:Choice>
      <mc:Fallback xmlns="">
        <xdr:sp macro="" textlink="">
          <xdr:nvSpPr>
            <xdr:cNvPr id="0" name=""/>
            <xdr:cNvSpPr>
              <a:spLocks noTextEdit="1"/>
            </xdr:cNvSpPr>
          </xdr:nvSpPr>
          <xdr:spPr>
            <a:xfrm>
              <a:off x="137160" y="6797041"/>
              <a:ext cx="179070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266700</xdr:colOff>
      <xdr:row>34</xdr:row>
      <xdr:rowOff>68580</xdr:rowOff>
    </xdr:from>
    <xdr:to>
      <xdr:col>23</xdr:col>
      <xdr:colOff>1043940</xdr:colOff>
      <xdr:row>47</xdr:row>
      <xdr:rowOff>68580</xdr:rowOff>
    </xdr:to>
    <xdr:sp macro="" textlink="">
      <xdr:nvSpPr>
        <xdr:cNvPr id="15" name="Rectangle: Rounded Corners 14">
          <a:extLst>
            <a:ext uri="{FF2B5EF4-FFF2-40B4-BE49-F238E27FC236}">
              <a16:creationId xmlns:a16="http://schemas.microsoft.com/office/drawing/2014/main" id="{81AAC6AE-F807-AA76-8676-CF10C351831A}"/>
            </a:ext>
          </a:extLst>
        </xdr:cNvPr>
        <xdr:cNvSpPr/>
      </xdr:nvSpPr>
      <xdr:spPr>
        <a:xfrm>
          <a:off x="10629900" y="6286500"/>
          <a:ext cx="4434840" cy="2377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rPr>
            <a:t>                      </a:t>
          </a:r>
          <a:r>
            <a:rPr lang="en-US" sz="1200" b="1">
              <a:solidFill>
                <a:schemeClr val="tx1"/>
              </a:solidFill>
            </a:rPr>
            <a:t>Formula Card</a:t>
          </a:r>
        </a:p>
        <a:p>
          <a:pPr algn="l"/>
          <a:endParaRPr lang="en-US" sz="1200">
            <a:solidFill>
              <a:schemeClr val="tx1"/>
            </a:solidFill>
          </a:endParaRPr>
        </a:p>
        <a:p>
          <a:pPr algn="l"/>
          <a:r>
            <a:rPr lang="en-US" sz="1200">
              <a:solidFill>
                <a:schemeClr val="tx1"/>
              </a:solidFill>
            </a:rPr>
            <a:t>I</a:t>
          </a:r>
          <a:r>
            <a:rPr lang="en-US" sz="1200" baseline="0">
              <a:solidFill>
                <a:schemeClr val="tx1"/>
              </a:solidFill>
            </a:rPr>
            <a:t> used Concatenation formula  used to combine multiple cells  into one formatted text output. The following  are the Syntax</a:t>
          </a:r>
        </a:p>
        <a:p>
          <a:pPr algn="l"/>
          <a:r>
            <a:rPr lang="en-US" sz="1200" baseline="0">
              <a:solidFill>
                <a:schemeClr val="tx1"/>
              </a:solidFill>
            </a:rPr>
            <a:t>= →starts the Formula</a:t>
          </a:r>
        </a:p>
        <a:p>
          <a:pPr algn="l"/>
          <a:r>
            <a:rPr lang="en-US" sz="1200" baseline="0">
              <a:solidFill>
                <a:schemeClr val="tx1"/>
              </a:solidFill>
            </a:rPr>
            <a:t>&amp;→ Concatenation operator used to join text and Cell Values</a:t>
          </a:r>
        </a:p>
        <a:p>
          <a:pPr algn="l"/>
          <a:r>
            <a:rPr lang="en-US" sz="1200" baseline="0">
              <a:solidFill>
                <a:schemeClr val="tx1"/>
              </a:solidFill>
            </a:rPr>
            <a:t>"-" →Text written inside double quotes; used to add a dash(-) between name and value.</a:t>
          </a:r>
        </a:p>
        <a:p>
          <a:pPr algn="l"/>
          <a:r>
            <a:rPr lang="en-US" sz="1200" baseline="0">
              <a:solidFill>
                <a:schemeClr val="tx1"/>
              </a:solidFill>
            </a:rPr>
            <a:t>→ add cell reference from which data is taken</a:t>
          </a:r>
        </a:p>
        <a:p>
          <a:pPr algn="l"/>
          <a:r>
            <a:rPr lang="en-US" sz="1200" baseline="0">
              <a:solidFill>
                <a:schemeClr val="tx1"/>
              </a:solidFill>
            </a:rPr>
            <a:t>→ CHAR(10);inserts a line break(new line)within the same cell</a:t>
          </a:r>
        </a:p>
        <a:p>
          <a:pPr algn="l"/>
          <a:r>
            <a:rPr lang="en-US" sz="1200" baseline="0">
              <a:solidFill>
                <a:schemeClr val="tx1"/>
              </a:solidFill>
            </a:rPr>
            <a:t>→ helper cell →Wrap Text </a:t>
          </a:r>
        </a:p>
        <a:p>
          <a:pPr algn="l"/>
          <a:endParaRPr lang="en-US" sz="1200" baseline="0">
            <a:solidFill>
              <a:schemeClr val="tx1"/>
            </a:solidFill>
          </a:endParaRPr>
        </a:p>
        <a:p>
          <a:pPr algn="l"/>
          <a:endParaRPr lang="en-US" sz="1200" baseline="0">
            <a:solidFill>
              <a:schemeClr val="tx1"/>
            </a:solidFill>
          </a:endParaRPr>
        </a:p>
        <a:p>
          <a:pPr algn="l"/>
          <a:endParaRPr lang="en-US" sz="1200" baseline="0">
            <a:solidFill>
              <a:schemeClr val="tx1"/>
            </a:solidFill>
          </a:endParaRPr>
        </a:p>
        <a:p>
          <a:pPr algn="l"/>
          <a:endParaRPr lang="en-US" sz="1200" baseline="0">
            <a:solidFill>
              <a:schemeClr val="tx1"/>
            </a:solidFill>
          </a:endParaRPr>
        </a:p>
        <a:p>
          <a:pPr algn="l"/>
          <a:endParaRPr lang="en-US" sz="1200">
            <a:solidFill>
              <a:schemeClr val="tx1"/>
            </a:solidFill>
          </a:endParaRPr>
        </a:p>
      </xdr:txBody>
    </xdr:sp>
    <xdr:clientData/>
  </xdr:twoCellAnchor>
  <xdr:twoCellAnchor>
    <xdr:from>
      <xdr:col>3</xdr:col>
      <xdr:colOff>297180</xdr:colOff>
      <xdr:row>42</xdr:row>
      <xdr:rowOff>121920</xdr:rowOff>
    </xdr:from>
    <xdr:to>
      <xdr:col>13</xdr:col>
      <xdr:colOff>495300</xdr:colOff>
      <xdr:row>56</xdr:row>
      <xdr:rowOff>68580</xdr:rowOff>
    </xdr:to>
    <xdr:sp macro="" textlink="">
      <xdr:nvSpPr>
        <xdr:cNvPr id="16" name="Rectangle: Rounded Corners 15">
          <a:extLst>
            <a:ext uri="{FF2B5EF4-FFF2-40B4-BE49-F238E27FC236}">
              <a16:creationId xmlns:a16="http://schemas.microsoft.com/office/drawing/2014/main" id="{D9745090-7BE6-268D-8EC7-FFC4BA7356CB}"/>
            </a:ext>
          </a:extLst>
        </xdr:cNvPr>
        <xdr:cNvSpPr/>
      </xdr:nvSpPr>
      <xdr:spPr>
        <a:xfrm>
          <a:off x="2125980" y="7802880"/>
          <a:ext cx="6294120" cy="2506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a:t>
          </a:r>
          <a:r>
            <a:rPr lang="en-US" sz="1600" b="1">
              <a:solidFill>
                <a:schemeClr val="tx1"/>
              </a:solidFill>
            </a:rPr>
            <a:t>Summary Card</a:t>
          </a:r>
        </a:p>
        <a:p>
          <a:pPr algn="l"/>
          <a:r>
            <a:rPr lang="en-US" sz="1100">
              <a:solidFill>
                <a:schemeClr val="tx1"/>
              </a:solidFill>
            </a:rPr>
            <a:t> </a:t>
          </a:r>
        </a:p>
        <a:p>
          <a:pPr algn="l"/>
          <a:r>
            <a:rPr lang="en-US" sz="1100">
              <a:solidFill>
                <a:schemeClr val="tx1"/>
              </a:solidFill>
            </a:rPr>
            <a:t>Brief Summary of my Dashboard:</a:t>
          </a:r>
        </a:p>
        <a:p>
          <a:pPr algn="l"/>
          <a:endParaRPr lang="en-US" sz="1100">
            <a:solidFill>
              <a:schemeClr val="tx1"/>
            </a:solidFill>
          </a:endParaRPr>
        </a:p>
        <a:p>
          <a:pPr algn="l"/>
          <a:r>
            <a:rPr lang="en-US" sz="1100">
              <a:solidFill>
                <a:schemeClr val="tx1"/>
              </a:solidFill>
            </a:rPr>
            <a:t>"This dashboard provides a strategic overview of sales and operational performance across regions. I designed it to help management quickly understand revenue trends, product performance, and delivery efficiency.The North region contributes the highest sales, particularly in electronics. Sales show clear seasonality with peaks in May and November. Delivery efficiency varies across regions, and cancellation rate is around 30%, which indicates scope for operational improvement.Additionally, while Leg Set is the highest-selling product by units, Smartphone generates the highest revenue, indicating high-value product contribution.This dashboard supports data-driven decisions in marketing, logistics, and regional strategy."</a:t>
          </a:r>
        </a:p>
      </xdr:txBody>
    </xdr:sp>
    <xdr:clientData/>
  </xdr:twoCellAnchor>
  <xdr:twoCellAnchor editAs="oneCell">
    <xdr:from>
      <xdr:col>0</xdr:col>
      <xdr:colOff>129540</xdr:colOff>
      <xdr:row>43</xdr:row>
      <xdr:rowOff>7621</xdr:rowOff>
    </xdr:from>
    <xdr:to>
      <xdr:col>3</xdr:col>
      <xdr:colOff>99060</xdr:colOff>
      <xdr:row>52</xdr:row>
      <xdr:rowOff>68580</xdr:rowOff>
    </xdr:to>
    <mc:AlternateContent xmlns:mc="http://schemas.openxmlformats.org/markup-compatibility/2006" xmlns:a14="http://schemas.microsoft.com/office/drawing/2010/main">
      <mc:Choice Requires="a14">
        <xdr:graphicFrame macro="">
          <xdr:nvGraphicFramePr>
            <xdr:cNvPr id="17" name="Product Category">
              <a:extLst>
                <a:ext uri="{FF2B5EF4-FFF2-40B4-BE49-F238E27FC236}">
                  <a16:creationId xmlns:a16="http://schemas.microsoft.com/office/drawing/2014/main" id="{1D790BA8-5789-56F7-B393-BB00BE9674C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9540" y="7871461"/>
              <a:ext cx="179832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5.521549421297" createdVersion="8" refreshedVersion="8" minRefreshableVersion="3" recordCount="100" xr:uid="{11E337C5-CF54-4B6C-8693-AE98EFFBA79D}">
  <cacheSource type="worksheet">
    <worksheetSource name="Table1"/>
  </cacheSource>
  <cacheFields count="23">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19"/>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22"/>
    </cacheField>
    <cacheField name="Cancel Date" numFmtId="14">
      <sharedItems containsNonDate="0" containsDate="1" containsString="0" containsBlank="1" minDate="2023-01-24T00:00:00" maxDate="2024-01-03T00:00:00"/>
    </cacheField>
    <cacheField name="is cancel" numFmtId="0">
      <sharedItems count="2">
        <s v="YES"/>
        <s v="NO"/>
      </sharedItems>
    </cacheField>
    <cacheField name="Product Category" numFmtId="0">
      <sharedItems count="5">
        <s v="Home"/>
        <s v="Toys"/>
        <s v="Fashion"/>
        <s v="Electronics"/>
        <s v="Books"/>
      </sharedItems>
    </cacheField>
    <cacheField name="Average Delivery Time " numFmtId="0">
      <sharedItems containsMixedTypes="1" containsNumber="1" containsInteger="1" minValue="1" maxValue="7" count="8">
        <s v="NA"/>
        <n v="2"/>
        <n v="3"/>
        <n v="6"/>
        <n v="1"/>
        <n v="4"/>
        <n v="5"/>
        <n v="7"/>
      </sharedItems>
    </cacheField>
    <cacheField name="Customer Name" numFmtId="0">
      <sharedItems/>
    </cacheField>
    <cacheField name="Delivery Performance" numFmtId="0">
      <sharedItems count="3">
        <s v="NA"/>
        <s v="Fast"/>
        <s v="Slow"/>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Months (Order Date)" numFmtId="0" databaseField="0">
      <fieldGroup base="10">
        <rangePr groupBy="months" startDate="2023-01-07T00:00:00" endDate="2024-01-01T00:00:00"/>
        <groupItems count="14">
          <s v="&lt;1/7/2023"/>
          <s v="Jan"/>
          <s v="Feb"/>
          <s v="Mar"/>
          <s v="Apr"/>
          <s v="May"/>
          <s v="Jun"/>
          <s v="Jul"/>
          <s v="Aug"/>
          <s v="Sep"/>
          <s v="Oct"/>
          <s v="Nov"/>
          <s v="Dec"/>
          <s v="&gt;1/1/2024"/>
        </groupItems>
      </fieldGroup>
    </cacheField>
    <cacheField name="Months (Delivery Date)" numFmtId="0" databaseField="0">
      <fieldGroup base="11">
        <rangePr groupBy="months" startDate="2023-01-09T00:00:00" endDate="2024-01-02T00:00:00"/>
        <groupItems count="14">
          <s v="&lt;1/9/2023"/>
          <s v="Jan"/>
          <s v="Feb"/>
          <s v="Mar"/>
          <s v="Apr"/>
          <s v="May"/>
          <s v="Jun"/>
          <s v="Jul"/>
          <s v="Aug"/>
          <s v="Sep"/>
          <s v="Oct"/>
          <s v="Nov"/>
          <s v="Dec"/>
          <s v="&gt;1/2/2024"/>
        </groupItems>
      </fieldGroup>
    </cacheField>
    <cacheField name="Quarters (Delivery Date)" numFmtId="0" databaseField="0">
      <fieldGroup base="11">
        <rangePr groupBy="quarters" startDate="2023-01-09T00:00:00" endDate="2024-01-02T00:00:00"/>
        <groupItems count="6">
          <s v="&lt;1/9/2023"/>
          <s v="Qtr1"/>
          <s v="Qtr2"/>
          <s v="Qtr3"/>
          <s v="Qtr4"/>
          <s v="&gt;1/2/2024"/>
        </groupItems>
      </fieldGroup>
    </cacheField>
    <cacheField name="Years (Delivery Date)" numFmtId="0" databaseField="0">
      <fieldGroup base="11">
        <rangePr groupBy="years" startDate="2023-01-09T00:00:00" endDate="2024-01-02T00:00:00"/>
        <groupItems count="4">
          <s v="&lt;1/9/2023"/>
          <s v="2023"/>
          <s v="2024"/>
          <s v="&gt;1/2/2024"/>
        </groupItems>
      </fieldGroup>
    </cacheField>
  </cacheFields>
  <extLst>
    <ext xmlns:x14="http://schemas.microsoft.com/office/spreadsheetml/2009/9/main" uri="{725AE2AE-9491-48be-B2B4-4EB974FC3084}">
      <x14:pivotCacheDefinition pivotCacheId="59243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s v="PROD012"/>
    <x v="0"/>
    <n v="44"/>
    <n v="1"/>
    <n v="44"/>
    <x v="0"/>
    <x v="0"/>
    <s v="DHL"/>
    <x v="0"/>
    <x v="0"/>
    <d v="2024-01-02T00:00:00"/>
    <x v="0"/>
    <x v="0"/>
    <x v="0"/>
    <s v="Zoe Mitchell"/>
    <x v="0"/>
    <x v="0"/>
  </r>
  <r>
    <x v="1"/>
    <s v="CUST029"/>
    <s v="PROD018"/>
    <x v="1"/>
    <n v="96"/>
    <n v="4"/>
    <n v="384"/>
    <x v="1"/>
    <x v="1"/>
    <s v="DHL"/>
    <x v="1"/>
    <x v="1"/>
    <m/>
    <x v="1"/>
    <x v="1"/>
    <x v="1"/>
    <s v="Ava White"/>
    <x v="1"/>
    <x v="1"/>
  </r>
  <r>
    <x v="2"/>
    <s v="CUST021"/>
    <s v="PROD013"/>
    <x v="2"/>
    <n v="194"/>
    <n v="4"/>
    <n v="776"/>
    <x v="1"/>
    <x v="2"/>
    <s v="USPS"/>
    <x v="2"/>
    <x v="0"/>
    <m/>
    <x v="1"/>
    <x v="0"/>
    <x v="0"/>
    <s v="Zoe Mitchell"/>
    <x v="0"/>
    <x v="2"/>
  </r>
  <r>
    <x v="3"/>
    <s v="CUST044"/>
    <s v="PROD013"/>
    <x v="0"/>
    <n v="196"/>
    <n v="3"/>
    <n v="588"/>
    <x v="2"/>
    <x v="0"/>
    <s v="UPS"/>
    <x v="3"/>
    <x v="0"/>
    <d v="2023-05-11T00:00:00"/>
    <x v="0"/>
    <x v="0"/>
    <x v="0"/>
    <s v="Grace Ward"/>
    <x v="0"/>
    <x v="2"/>
  </r>
  <r>
    <x v="4"/>
    <s v="CUST027"/>
    <s v="PROD010"/>
    <x v="0"/>
    <n v="59"/>
    <n v="1"/>
    <n v="59"/>
    <x v="2"/>
    <x v="1"/>
    <s v="Amazon Logistics"/>
    <x v="4"/>
    <x v="2"/>
    <m/>
    <x v="1"/>
    <x v="2"/>
    <x v="2"/>
    <s v="Hazel Brooks"/>
    <x v="2"/>
    <x v="3"/>
  </r>
  <r>
    <x v="5"/>
    <s v="CUST009"/>
    <s v="PROD010"/>
    <x v="0"/>
    <n v="58"/>
    <n v="4"/>
    <n v="232"/>
    <x v="3"/>
    <x v="0"/>
    <s v="DHL"/>
    <x v="5"/>
    <x v="0"/>
    <d v="2023-11-02T00:00:00"/>
    <x v="0"/>
    <x v="2"/>
    <x v="0"/>
    <s v="Jackson Allen"/>
    <x v="0"/>
    <x v="3"/>
  </r>
  <r>
    <x v="6"/>
    <s v="CUST042"/>
    <s v="PROD020"/>
    <x v="3"/>
    <n v="105"/>
    <n v="3"/>
    <n v="315"/>
    <x v="4"/>
    <x v="0"/>
    <s v="DHL"/>
    <x v="6"/>
    <x v="0"/>
    <d v="2023-08-18T00:00:00"/>
    <x v="0"/>
    <x v="3"/>
    <x v="0"/>
    <s v="Noah Wilson"/>
    <x v="0"/>
    <x v="4"/>
  </r>
  <r>
    <x v="7"/>
    <s v="CUST019"/>
    <s v="PROD021"/>
    <x v="4"/>
    <n v="37"/>
    <n v="5"/>
    <n v="185"/>
    <x v="2"/>
    <x v="0"/>
    <s v="DHL"/>
    <x v="7"/>
    <x v="0"/>
    <d v="2023-04-06T00:00:00"/>
    <x v="0"/>
    <x v="0"/>
    <x v="0"/>
    <s v="Ava Robinson"/>
    <x v="0"/>
    <x v="5"/>
  </r>
  <r>
    <x v="8"/>
    <s v="CUST013"/>
    <s v="PROD019"/>
    <x v="3"/>
    <n v="44"/>
    <n v="2"/>
    <n v="88"/>
    <x v="1"/>
    <x v="2"/>
    <s v="Amazon Logistics"/>
    <x v="8"/>
    <x v="0"/>
    <m/>
    <x v="1"/>
    <x v="2"/>
    <x v="0"/>
    <s v="Olivia Martinez"/>
    <x v="0"/>
    <x v="6"/>
  </r>
  <r>
    <x v="9"/>
    <s v="CUST019"/>
    <s v="PROD003"/>
    <x v="2"/>
    <n v="141"/>
    <n v="4"/>
    <n v="564"/>
    <x v="4"/>
    <x v="2"/>
    <s v="DHL"/>
    <x v="9"/>
    <x v="0"/>
    <m/>
    <x v="1"/>
    <x v="0"/>
    <x v="0"/>
    <s v="Ava Robinson"/>
    <x v="0"/>
    <x v="7"/>
  </r>
  <r>
    <x v="10"/>
    <s v="CUST046"/>
    <s v="PROD014"/>
    <x v="2"/>
    <n v="249"/>
    <n v="1"/>
    <n v="249"/>
    <x v="3"/>
    <x v="0"/>
    <s v="USPS"/>
    <x v="10"/>
    <x v="0"/>
    <d v="2023-05-08T00:00:00"/>
    <x v="0"/>
    <x v="3"/>
    <x v="0"/>
    <s v="Emily Johnson"/>
    <x v="0"/>
    <x v="8"/>
  </r>
  <r>
    <x v="11"/>
    <s v="CUST045"/>
    <s v="PROD014"/>
    <x v="3"/>
    <n v="247"/>
    <n v="3"/>
    <n v="741"/>
    <x v="3"/>
    <x v="2"/>
    <s v="FedEx"/>
    <x v="11"/>
    <x v="0"/>
    <m/>
    <x v="1"/>
    <x v="3"/>
    <x v="0"/>
    <s v="Emily Johnson"/>
    <x v="0"/>
    <x v="8"/>
  </r>
  <r>
    <x v="12"/>
    <s v="CUST023"/>
    <s v="PROD006"/>
    <x v="3"/>
    <n v="96"/>
    <n v="1"/>
    <n v="96"/>
    <x v="0"/>
    <x v="0"/>
    <s v="Amazon Logistics"/>
    <x v="12"/>
    <x v="0"/>
    <d v="2023-02-28T00:00:00"/>
    <x v="0"/>
    <x v="2"/>
    <x v="0"/>
    <s v="Charlotte Reed"/>
    <x v="0"/>
    <x v="9"/>
  </r>
  <r>
    <x v="13"/>
    <s v="CUST033"/>
    <s v="PROD017"/>
    <x v="4"/>
    <n v="74"/>
    <n v="5"/>
    <n v="370"/>
    <x v="0"/>
    <x v="0"/>
    <s v="Amazon Logistics"/>
    <x v="13"/>
    <x v="0"/>
    <d v="2023-02-25T00:00:00"/>
    <x v="0"/>
    <x v="3"/>
    <x v="0"/>
    <s v="Hazel Rivera"/>
    <x v="0"/>
    <x v="10"/>
  </r>
  <r>
    <x v="14"/>
    <s v="CUST033"/>
    <s v="PROD005"/>
    <x v="2"/>
    <n v="27"/>
    <n v="1"/>
    <n v="27"/>
    <x v="1"/>
    <x v="0"/>
    <s v="Amazon Logistics"/>
    <x v="14"/>
    <x v="0"/>
    <d v="2023-09-02T00:00:00"/>
    <x v="0"/>
    <x v="2"/>
    <x v="0"/>
    <s v="Hazel Rivera"/>
    <x v="0"/>
    <x v="11"/>
  </r>
  <r>
    <x v="15"/>
    <s v="CUST047"/>
    <s v="PROD005"/>
    <x v="2"/>
    <n v="27"/>
    <n v="3"/>
    <n v="81"/>
    <x v="4"/>
    <x v="2"/>
    <s v="Amazon Logistics"/>
    <x v="15"/>
    <x v="0"/>
    <m/>
    <x v="1"/>
    <x v="2"/>
    <x v="0"/>
    <s v="Scarlett Murphy"/>
    <x v="0"/>
    <x v="11"/>
  </r>
  <r>
    <x v="16"/>
    <s v="CUST045"/>
    <s v="PROD015"/>
    <x v="1"/>
    <n v="21"/>
    <n v="3"/>
    <n v="63"/>
    <x v="1"/>
    <x v="1"/>
    <s v="DHL"/>
    <x v="16"/>
    <x v="3"/>
    <m/>
    <x v="1"/>
    <x v="4"/>
    <x v="2"/>
    <s v="Emily Johnson"/>
    <x v="2"/>
    <x v="12"/>
  </r>
  <r>
    <x v="17"/>
    <s v="CUST011"/>
    <s v="PROD008"/>
    <x v="4"/>
    <n v="70"/>
    <n v="5"/>
    <n v="350"/>
    <x v="2"/>
    <x v="2"/>
    <s v="Amazon Logistics"/>
    <x v="17"/>
    <x v="0"/>
    <m/>
    <x v="1"/>
    <x v="4"/>
    <x v="0"/>
    <s v="Mason Hall"/>
    <x v="0"/>
    <x v="13"/>
  </r>
  <r>
    <x v="18"/>
    <s v="CUST041"/>
    <s v="PROD006"/>
    <x v="2"/>
    <n v="94"/>
    <n v="4"/>
    <n v="376"/>
    <x v="1"/>
    <x v="2"/>
    <s v="USPS"/>
    <x v="18"/>
    <x v="0"/>
    <m/>
    <x v="1"/>
    <x v="2"/>
    <x v="0"/>
    <s v="Jacob Price"/>
    <x v="0"/>
    <x v="9"/>
  </r>
  <r>
    <x v="19"/>
    <s v="CUST025"/>
    <s v="PROD001"/>
    <x v="0"/>
    <n v="813"/>
    <n v="2"/>
    <n v="1626"/>
    <x v="1"/>
    <x v="2"/>
    <s v="FedEx"/>
    <x v="19"/>
    <x v="0"/>
    <m/>
    <x v="1"/>
    <x v="3"/>
    <x v="0"/>
    <s v="Emma King"/>
    <x v="0"/>
    <x v="14"/>
  </r>
  <r>
    <x v="20"/>
    <s v="CUST013"/>
    <s v="PROD015"/>
    <x v="3"/>
    <n v="21"/>
    <n v="4"/>
    <n v="84"/>
    <x v="2"/>
    <x v="2"/>
    <s v="Amazon Logistics"/>
    <x v="20"/>
    <x v="0"/>
    <m/>
    <x v="1"/>
    <x v="4"/>
    <x v="0"/>
    <s v="Olivia Martinez"/>
    <x v="0"/>
    <x v="12"/>
  </r>
  <r>
    <x v="21"/>
    <s v="CUST023"/>
    <s v="PROD012"/>
    <x v="4"/>
    <n v="46"/>
    <n v="5"/>
    <n v="230"/>
    <x v="2"/>
    <x v="2"/>
    <s v="USPS"/>
    <x v="21"/>
    <x v="0"/>
    <m/>
    <x v="1"/>
    <x v="0"/>
    <x v="0"/>
    <s v="Charlotte Reed"/>
    <x v="0"/>
    <x v="0"/>
  </r>
  <r>
    <x v="22"/>
    <s v="CUST016"/>
    <s v="PROD010"/>
    <x v="4"/>
    <n v="58"/>
    <n v="3"/>
    <n v="174"/>
    <x v="3"/>
    <x v="0"/>
    <s v="Amazon Logistics"/>
    <x v="15"/>
    <x v="0"/>
    <d v="2023-02-14T00:00:00"/>
    <x v="0"/>
    <x v="2"/>
    <x v="0"/>
    <s v="Elijah Lewis"/>
    <x v="0"/>
    <x v="3"/>
  </r>
  <r>
    <x v="23"/>
    <s v="CUST028"/>
    <s v="PROD006"/>
    <x v="4"/>
    <n v="96"/>
    <n v="5"/>
    <n v="480"/>
    <x v="3"/>
    <x v="1"/>
    <s v="Amazon Logistics"/>
    <x v="22"/>
    <x v="4"/>
    <m/>
    <x v="1"/>
    <x v="2"/>
    <x v="2"/>
    <s v="Lily Bennett"/>
    <x v="2"/>
    <x v="9"/>
  </r>
  <r>
    <x v="24"/>
    <s v="CUST040"/>
    <s v="PROD002"/>
    <x v="2"/>
    <n v="43"/>
    <n v="1"/>
    <n v="43"/>
    <x v="4"/>
    <x v="1"/>
    <s v="Amazon Logistics"/>
    <x v="23"/>
    <x v="5"/>
    <m/>
    <x v="1"/>
    <x v="1"/>
    <x v="1"/>
    <s v="Benjamin Clark"/>
    <x v="1"/>
    <x v="15"/>
  </r>
  <r>
    <x v="25"/>
    <s v="CUST027"/>
    <s v="PROD022"/>
    <x v="2"/>
    <n v="64"/>
    <n v="4"/>
    <n v="256"/>
    <x v="4"/>
    <x v="1"/>
    <s v="USPS"/>
    <x v="24"/>
    <x v="6"/>
    <m/>
    <x v="1"/>
    <x v="2"/>
    <x v="3"/>
    <s v="Hazel Brooks"/>
    <x v="2"/>
    <x v="16"/>
  </r>
  <r>
    <x v="26"/>
    <s v="CUST018"/>
    <s v="PROD008"/>
    <x v="2"/>
    <n v="70"/>
    <n v="2"/>
    <n v="140"/>
    <x v="3"/>
    <x v="2"/>
    <s v="Amazon Logistics"/>
    <x v="25"/>
    <x v="0"/>
    <m/>
    <x v="1"/>
    <x v="4"/>
    <x v="0"/>
    <s v="Grace Scott"/>
    <x v="0"/>
    <x v="13"/>
  </r>
  <r>
    <x v="27"/>
    <s v="CUST018"/>
    <s v="PROD018"/>
    <x v="3"/>
    <n v="97"/>
    <n v="3"/>
    <n v="291"/>
    <x v="1"/>
    <x v="2"/>
    <s v="Amazon Logistics"/>
    <x v="26"/>
    <x v="0"/>
    <m/>
    <x v="1"/>
    <x v="1"/>
    <x v="0"/>
    <s v="Grace Scott"/>
    <x v="0"/>
    <x v="1"/>
  </r>
  <r>
    <x v="28"/>
    <s v="CUST007"/>
    <s v="PROD021"/>
    <x v="1"/>
    <n v="37"/>
    <n v="3"/>
    <n v="111"/>
    <x v="0"/>
    <x v="0"/>
    <s v="DHL"/>
    <x v="27"/>
    <x v="0"/>
    <d v="2023-10-10T00:00:00"/>
    <x v="0"/>
    <x v="0"/>
    <x v="0"/>
    <s v="Liam Walker"/>
    <x v="0"/>
    <x v="5"/>
  </r>
  <r>
    <x v="29"/>
    <s v="CUST008"/>
    <s v="PROD008"/>
    <x v="0"/>
    <n v="69"/>
    <n v="5"/>
    <n v="345"/>
    <x v="3"/>
    <x v="2"/>
    <s v="Amazon Logistics"/>
    <x v="28"/>
    <x v="0"/>
    <m/>
    <x v="1"/>
    <x v="4"/>
    <x v="0"/>
    <s v="Harper Young"/>
    <x v="0"/>
    <x v="13"/>
  </r>
  <r>
    <x v="30"/>
    <s v="CUST014"/>
    <s v="PROD002"/>
    <x v="0"/>
    <n v="42"/>
    <n v="5"/>
    <n v="210"/>
    <x v="3"/>
    <x v="2"/>
    <s v="UPS"/>
    <x v="29"/>
    <x v="0"/>
    <m/>
    <x v="1"/>
    <x v="1"/>
    <x v="0"/>
    <s v="Harper Young"/>
    <x v="0"/>
    <x v="15"/>
  </r>
  <r>
    <x v="31"/>
    <s v="CUST037"/>
    <s v="PROD009"/>
    <x v="1"/>
    <n v="11"/>
    <n v="5"/>
    <n v="55"/>
    <x v="4"/>
    <x v="0"/>
    <s v="FedEx"/>
    <x v="30"/>
    <x v="0"/>
    <d v="2023-06-22T00:00:00"/>
    <x v="0"/>
    <x v="4"/>
    <x v="0"/>
    <s v="Emily Johnson"/>
    <x v="0"/>
    <x v="17"/>
  </r>
  <r>
    <x v="32"/>
    <s v="CUST016"/>
    <s v="PROD005"/>
    <x v="2"/>
    <n v="27"/>
    <n v="2"/>
    <n v="54"/>
    <x v="0"/>
    <x v="1"/>
    <s v="USPS"/>
    <x v="31"/>
    <x v="7"/>
    <m/>
    <x v="1"/>
    <x v="2"/>
    <x v="4"/>
    <s v="Elijah Lewis"/>
    <x v="1"/>
    <x v="11"/>
  </r>
  <r>
    <x v="33"/>
    <s v="CUST025"/>
    <s v="PROD015"/>
    <x v="2"/>
    <n v="21"/>
    <n v="1"/>
    <n v="21"/>
    <x v="3"/>
    <x v="2"/>
    <s v="DHL"/>
    <x v="32"/>
    <x v="0"/>
    <m/>
    <x v="1"/>
    <x v="4"/>
    <x v="0"/>
    <s v="Emma King"/>
    <x v="0"/>
    <x v="12"/>
  </r>
  <r>
    <x v="34"/>
    <s v="CUST032"/>
    <s v="PROD011"/>
    <x v="2"/>
    <n v="172"/>
    <n v="1"/>
    <n v="172"/>
    <x v="2"/>
    <x v="1"/>
    <s v="USPS"/>
    <x v="33"/>
    <x v="8"/>
    <m/>
    <x v="1"/>
    <x v="3"/>
    <x v="5"/>
    <s v="Luke Gray"/>
    <x v="2"/>
    <x v="18"/>
  </r>
  <r>
    <x v="35"/>
    <s v="CUST014"/>
    <s v="PROD016"/>
    <x v="0"/>
    <n v="212"/>
    <n v="3"/>
    <n v="636"/>
    <x v="3"/>
    <x v="2"/>
    <s v="UPS"/>
    <x v="34"/>
    <x v="0"/>
    <m/>
    <x v="1"/>
    <x v="0"/>
    <x v="0"/>
    <s v="Harper Young"/>
    <x v="0"/>
    <x v="19"/>
  </r>
  <r>
    <x v="36"/>
    <s v="CUST044"/>
    <s v="PROD002"/>
    <x v="1"/>
    <n v="41"/>
    <n v="4"/>
    <n v="164"/>
    <x v="1"/>
    <x v="1"/>
    <s v="Amazon Logistics"/>
    <x v="35"/>
    <x v="9"/>
    <m/>
    <x v="1"/>
    <x v="1"/>
    <x v="6"/>
    <s v="Grace Ward"/>
    <x v="2"/>
    <x v="15"/>
  </r>
  <r>
    <x v="37"/>
    <s v="CUST028"/>
    <s v="PROD007"/>
    <x v="0"/>
    <n v="32"/>
    <n v="2"/>
    <n v="64"/>
    <x v="4"/>
    <x v="0"/>
    <s v="FedEx"/>
    <x v="36"/>
    <x v="0"/>
    <d v="2023-08-24T00:00:00"/>
    <x v="0"/>
    <x v="1"/>
    <x v="0"/>
    <s v="Lily Bennett"/>
    <x v="0"/>
    <x v="20"/>
  </r>
  <r>
    <x v="38"/>
    <s v="CUST024"/>
    <s v="PROD022"/>
    <x v="1"/>
    <n v="66"/>
    <n v="2"/>
    <n v="132"/>
    <x v="0"/>
    <x v="2"/>
    <s v="DHL"/>
    <x v="37"/>
    <x v="0"/>
    <m/>
    <x v="1"/>
    <x v="2"/>
    <x v="0"/>
    <s v="Scarlett Murphy"/>
    <x v="0"/>
    <x v="16"/>
  </r>
  <r>
    <x v="39"/>
    <s v="CUST006"/>
    <s v="PROD004"/>
    <x v="1"/>
    <n v="62"/>
    <n v="4"/>
    <n v="248"/>
    <x v="4"/>
    <x v="2"/>
    <s v="UPS"/>
    <x v="38"/>
    <x v="0"/>
    <m/>
    <x v="1"/>
    <x v="1"/>
    <x v="0"/>
    <s v="Ava Robinson"/>
    <x v="0"/>
    <x v="21"/>
  </r>
  <r>
    <x v="40"/>
    <s v="CUST001"/>
    <s v="PROD011"/>
    <x v="4"/>
    <n v="173"/>
    <n v="4"/>
    <n v="692"/>
    <x v="0"/>
    <x v="1"/>
    <s v="UPS"/>
    <x v="39"/>
    <x v="10"/>
    <m/>
    <x v="1"/>
    <x v="3"/>
    <x v="7"/>
    <s v="James Miller"/>
    <x v="2"/>
    <x v="18"/>
  </r>
  <r>
    <x v="41"/>
    <s v="CUST007"/>
    <s v="PROD004"/>
    <x v="4"/>
    <n v="63"/>
    <n v="3"/>
    <n v="189"/>
    <x v="0"/>
    <x v="1"/>
    <s v="UPS"/>
    <x v="40"/>
    <x v="11"/>
    <m/>
    <x v="1"/>
    <x v="1"/>
    <x v="1"/>
    <s v="Liam Walker"/>
    <x v="1"/>
    <x v="21"/>
  </r>
  <r>
    <x v="42"/>
    <s v="CUST040"/>
    <s v="PROD021"/>
    <x v="4"/>
    <n v="36"/>
    <n v="3"/>
    <n v="108"/>
    <x v="4"/>
    <x v="0"/>
    <s v="USPS"/>
    <x v="41"/>
    <x v="0"/>
    <d v="2023-02-11T00:00:00"/>
    <x v="0"/>
    <x v="0"/>
    <x v="0"/>
    <s v="Benjamin Clark"/>
    <x v="0"/>
    <x v="5"/>
  </r>
  <r>
    <x v="43"/>
    <s v="CUST006"/>
    <s v="PROD004"/>
    <x v="3"/>
    <n v="62"/>
    <n v="1"/>
    <n v="62"/>
    <x v="0"/>
    <x v="0"/>
    <s v="Amazon Logistics"/>
    <x v="42"/>
    <x v="0"/>
    <d v="2023-12-23T00:00:00"/>
    <x v="0"/>
    <x v="1"/>
    <x v="0"/>
    <s v="Ava Robinson"/>
    <x v="0"/>
    <x v="21"/>
  </r>
  <r>
    <x v="44"/>
    <s v="CUST042"/>
    <s v="PROD003"/>
    <x v="3"/>
    <n v="137"/>
    <n v="5"/>
    <n v="685"/>
    <x v="3"/>
    <x v="0"/>
    <s v="FedEx"/>
    <x v="43"/>
    <x v="0"/>
    <d v="2023-06-14T00:00:00"/>
    <x v="0"/>
    <x v="0"/>
    <x v="0"/>
    <s v="Noah Wilson"/>
    <x v="0"/>
    <x v="7"/>
  </r>
  <r>
    <x v="45"/>
    <s v="CUST039"/>
    <s v="PROD017"/>
    <x v="0"/>
    <n v="73"/>
    <n v="4"/>
    <n v="292"/>
    <x v="1"/>
    <x v="1"/>
    <s v="Amazon Logistics"/>
    <x v="44"/>
    <x v="12"/>
    <m/>
    <x v="1"/>
    <x v="3"/>
    <x v="5"/>
    <s v="Logan Ramirez"/>
    <x v="2"/>
    <x v="10"/>
  </r>
  <r>
    <x v="46"/>
    <s v="CUST041"/>
    <s v="PROD020"/>
    <x v="0"/>
    <n v="104"/>
    <n v="1"/>
    <n v="104"/>
    <x v="2"/>
    <x v="1"/>
    <s v="Amazon Logistics"/>
    <x v="45"/>
    <x v="13"/>
    <m/>
    <x v="1"/>
    <x v="3"/>
    <x v="1"/>
    <s v="Jacob Price"/>
    <x v="1"/>
    <x v="4"/>
  </r>
  <r>
    <x v="47"/>
    <s v="CUST044"/>
    <s v="PROD006"/>
    <x v="1"/>
    <n v="97"/>
    <n v="1"/>
    <n v="97"/>
    <x v="3"/>
    <x v="1"/>
    <s v="FedEx"/>
    <x v="46"/>
    <x v="14"/>
    <m/>
    <x v="1"/>
    <x v="2"/>
    <x v="6"/>
    <s v="Grace Ward"/>
    <x v="2"/>
    <x v="9"/>
  </r>
  <r>
    <x v="48"/>
    <s v="CUST026"/>
    <s v="PROD017"/>
    <x v="2"/>
    <n v="73"/>
    <n v="5"/>
    <n v="365"/>
    <x v="0"/>
    <x v="2"/>
    <s v="Amazon Logistics"/>
    <x v="47"/>
    <x v="0"/>
    <m/>
    <x v="1"/>
    <x v="3"/>
    <x v="0"/>
    <s v="Zoe Mitchell"/>
    <x v="0"/>
    <x v="10"/>
  </r>
  <r>
    <x v="49"/>
    <s v="CUST040"/>
    <s v="PROD005"/>
    <x v="1"/>
    <n v="27"/>
    <n v="3"/>
    <n v="81"/>
    <x v="3"/>
    <x v="1"/>
    <s v="UPS"/>
    <x v="48"/>
    <x v="15"/>
    <m/>
    <x v="1"/>
    <x v="2"/>
    <x v="7"/>
    <s v="Benjamin Clark"/>
    <x v="2"/>
    <x v="11"/>
  </r>
  <r>
    <x v="50"/>
    <s v="CUST041"/>
    <s v="PROD021"/>
    <x v="0"/>
    <n v="37"/>
    <n v="1"/>
    <n v="37"/>
    <x v="0"/>
    <x v="2"/>
    <s v="UPS"/>
    <x v="20"/>
    <x v="0"/>
    <m/>
    <x v="1"/>
    <x v="0"/>
    <x v="0"/>
    <s v="Jacob Price"/>
    <x v="0"/>
    <x v="5"/>
  </r>
  <r>
    <x v="51"/>
    <s v="CUST008"/>
    <s v="PROD015"/>
    <x v="0"/>
    <n v="22"/>
    <n v="1"/>
    <n v="22"/>
    <x v="4"/>
    <x v="1"/>
    <s v="FedEx"/>
    <x v="49"/>
    <x v="16"/>
    <m/>
    <x v="1"/>
    <x v="4"/>
    <x v="1"/>
    <s v="Harper Young"/>
    <x v="1"/>
    <x v="12"/>
  </r>
  <r>
    <x v="52"/>
    <s v="CUST011"/>
    <s v="PROD016"/>
    <x v="3"/>
    <n v="218"/>
    <n v="5"/>
    <n v="1090"/>
    <x v="2"/>
    <x v="1"/>
    <s v="DHL"/>
    <x v="9"/>
    <x v="17"/>
    <m/>
    <x v="1"/>
    <x v="0"/>
    <x v="2"/>
    <s v="Mason Hall"/>
    <x v="2"/>
    <x v="19"/>
  </r>
  <r>
    <x v="53"/>
    <s v="CUST018"/>
    <s v="PROD004"/>
    <x v="0"/>
    <n v="64"/>
    <n v="1"/>
    <n v="64"/>
    <x v="0"/>
    <x v="0"/>
    <s v="USPS"/>
    <x v="50"/>
    <x v="0"/>
    <d v="2023-03-13T00:00:00"/>
    <x v="0"/>
    <x v="1"/>
    <x v="0"/>
    <s v="Grace Scott"/>
    <x v="0"/>
    <x v="21"/>
  </r>
  <r>
    <x v="54"/>
    <s v="CUST037"/>
    <s v="PROD021"/>
    <x v="3"/>
    <n v="36"/>
    <n v="4"/>
    <n v="144"/>
    <x v="2"/>
    <x v="1"/>
    <s v="Amazon Logistics"/>
    <x v="4"/>
    <x v="18"/>
    <m/>
    <x v="1"/>
    <x v="0"/>
    <x v="5"/>
    <s v="Emily Johnson"/>
    <x v="2"/>
    <x v="5"/>
  </r>
  <r>
    <x v="55"/>
    <s v="CUST017"/>
    <s v="PROD004"/>
    <x v="4"/>
    <n v="65"/>
    <n v="1"/>
    <n v="65"/>
    <x v="3"/>
    <x v="1"/>
    <s v="FedEx"/>
    <x v="51"/>
    <x v="6"/>
    <m/>
    <x v="1"/>
    <x v="1"/>
    <x v="2"/>
    <s v="Emma King"/>
    <x v="2"/>
    <x v="21"/>
  </r>
  <r>
    <x v="56"/>
    <s v="CUST025"/>
    <s v="PROD005"/>
    <x v="3"/>
    <n v="26"/>
    <n v="1"/>
    <n v="26"/>
    <x v="0"/>
    <x v="1"/>
    <s v="DHL"/>
    <x v="52"/>
    <x v="19"/>
    <m/>
    <x v="1"/>
    <x v="2"/>
    <x v="1"/>
    <s v="Emma King"/>
    <x v="1"/>
    <x v="11"/>
  </r>
  <r>
    <x v="57"/>
    <s v="CUST021"/>
    <s v="PROD009"/>
    <x v="0"/>
    <n v="11"/>
    <n v="5"/>
    <n v="55"/>
    <x v="1"/>
    <x v="2"/>
    <s v="FedEx"/>
    <x v="53"/>
    <x v="0"/>
    <m/>
    <x v="1"/>
    <x v="4"/>
    <x v="0"/>
    <s v="Zoe Mitchell"/>
    <x v="0"/>
    <x v="17"/>
  </r>
  <r>
    <x v="58"/>
    <s v="CUST003"/>
    <s v="PROD013"/>
    <x v="0"/>
    <n v="195"/>
    <n v="4"/>
    <n v="780"/>
    <x v="2"/>
    <x v="0"/>
    <s v="FedEx"/>
    <x v="54"/>
    <x v="0"/>
    <d v="2023-04-05T00:00:00"/>
    <x v="0"/>
    <x v="0"/>
    <x v="0"/>
    <s v="Ethan Davis"/>
    <x v="0"/>
    <x v="2"/>
  </r>
  <r>
    <x v="59"/>
    <s v="CUST019"/>
    <s v="PROD019"/>
    <x v="4"/>
    <n v="44"/>
    <n v="5"/>
    <n v="220"/>
    <x v="0"/>
    <x v="0"/>
    <s v="USPS"/>
    <x v="2"/>
    <x v="0"/>
    <d v="2023-10-12T00:00:00"/>
    <x v="0"/>
    <x v="2"/>
    <x v="0"/>
    <s v="Ava Robinson"/>
    <x v="0"/>
    <x v="6"/>
  </r>
  <r>
    <x v="60"/>
    <s v="CUST035"/>
    <s v="PROD008"/>
    <x v="1"/>
    <n v="69"/>
    <n v="4"/>
    <n v="276"/>
    <x v="4"/>
    <x v="2"/>
    <s v="DHL"/>
    <x v="55"/>
    <x v="0"/>
    <m/>
    <x v="1"/>
    <x v="4"/>
    <x v="0"/>
    <s v="Scarlett Adams"/>
    <x v="0"/>
    <x v="13"/>
  </r>
  <r>
    <x v="61"/>
    <s v="CUST022"/>
    <s v="PROD001"/>
    <x v="0"/>
    <n v="815"/>
    <n v="4"/>
    <n v="3260"/>
    <x v="1"/>
    <x v="1"/>
    <s v="USPS"/>
    <x v="56"/>
    <x v="20"/>
    <m/>
    <x v="1"/>
    <x v="3"/>
    <x v="7"/>
    <s v="Elijah Lewis"/>
    <x v="2"/>
    <x v="14"/>
  </r>
  <r>
    <x v="62"/>
    <s v="CUST004"/>
    <s v="PROD005"/>
    <x v="1"/>
    <n v="27"/>
    <n v="1"/>
    <n v="27"/>
    <x v="4"/>
    <x v="2"/>
    <s v="Amazon Logistics"/>
    <x v="57"/>
    <x v="0"/>
    <m/>
    <x v="1"/>
    <x v="2"/>
    <x v="0"/>
    <s v="Noah Wilson"/>
    <x v="0"/>
    <x v="11"/>
  </r>
  <r>
    <x v="63"/>
    <s v="CUST048"/>
    <s v="PROD003"/>
    <x v="4"/>
    <n v="139"/>
    <n v="5"/>
    <n v="695"/>
    <x v="0"/>
    <x v="1"/>
    <s v="USPS"/>
    <x v="38"/>
    <x v="21"/>
    <m/>
    <x v="1"/>
    <x v="0"/>
    <x v="5"/>
    <s v="Noah Wilson"/>
    <x v="2"/>
    <x v="7"/>
  </r>
  <r>
    <x v="64"/>
    <s v="CUST009"/>
    <s v="PROD008"/>
    <x v="2"/>
    <n v="69"/>
    <n v="3"/>
    <n v="207"/>
    <x v="2"/>
    <x v="0"/>
    <s v="Amazon Logistics"/>
    <x v="51"/>
    <x v="0"/>
    <d v="2023-10-20T00:00:00"/>
    <x v="0"/>
    <x v="4"/>
    <x v="0"/>
    <s v="Jackson Allen"/>
    <x v="0"/>
    <x v="13"/>
  </r>
  <r>
    <x v="65"/>
    <s v="CUST009"/>
    <s v="PROD019"/>
    <x v="4"/>
    <n v="42"/>
    <n v="1"/>
    <n v="42"/>
    <x v="0"/>
    <x v="0"/>
    <s v="DHL"/>
    <x v="58"/>
    <x v="0"/>
    <d v="2023-05-21T00:00:00"/>
    <x v="0"/>
    <x v="2"/>
    <x v="0"/>
    <s v="Jackson Allen"/>
    <x v="0"/>
    <x v="6"/>
  </r>
  <r>
    <x v="66"/>
    <s v="CUST050"/>
    <s v="PROD007"/>
    <x v="0"/>
    <n v="31"/>
    <n v="4"/>
    <n v="124"/>
    <x v="1"/>
    <x v="1"/>
    <s v="UPS"/>
    <x v="59"/>
    <x v="22"/>
    <m/>
    <x v="1"/>
    <x v="1"/>
    <x v="1"/>
    <s v="NOT FOUND"/>
    <x v="1"/>
    <x v="20"/>
  </r>
  <r>
    <x v="67"/>
    <s v="CUST045"/>
    <s v="PROD020"/>
    <x v="4"/>
    <n v="104"/>
    <n v="3"/>
    <n v="312"/>
    <x v="1"/>
    <x v="2"/>
    <s v="UPS"/>
    <x v="42"/>
    <x v="0"/>
    <m/>
    <x v="1"/>
    <x v="3"/>
    <x v="0"/>
    <s v="Emily Johnson"/>
    <x v="0"/>
    <x v="4"/>
  </r>
  <r>
    <x v="68"/>
    <s v="CUST044"/>
    <s v="PROD010"/>
    <x v="1"/>
    <n v="58"/>
    <n v="2"/>
    <n v="116"/>
    <x v="0"/>
    <x v="0"/>
    <s v="USPS"/>
    <x v="60"/>
    <x v="0"/>
    <d v="2023-07-07T00:00:00"/>
    <x v="0"/>
    <x v="2"/>
    <x v="0"/>
    <s v="Grace Ward"/>
    <x v="0"/>
    <x v="3"/>
  </r>
  <r>
    <x v="69"/>
    <s v="CUST009"/>
    <s v="PROD004"/>
    <x v="4"/>
    <n v="62"/>
    <n v="2"/>
    <n v="124"/>
    <x v="4"/>
    <x v="0"/>
    <s v="DHL"/>
    <x v="26"/>
    <x v="0"/>
    <d v="2023-10-10T00:00:00"/>
    <x v="0"/>
    <x v="1"/>
    <x v="0"/>
    <s v="Jackson Allen"/>
    <x v="0"/>
    <x v="21"/>
  </r>
  <r>
    <x v="70"/>
    <s v="CUST006"/>
    <s v="PROD019"/>
    <x v="1"/>
    <n v="43"/>
    <n v="1"/>
    <n v="43"/>
    <x v="1"/>
    <x v="1"/>
    <s v="Amazon Logistics"/>
    <x v="42"/>
    <x v="23"/>
    <m/>
    <x v="1"/>
    <x v="2"/>
    <x v="7"/>
    <s v="Ava Robinson"/>
    <x v="2"/>
    <x v="6"/>
  </r>
  <r>
    <x v="71"/>
    <s v="CUST022"/>
    <s v="PROD004"/>
    <x v="1"/>
    <n v="62"/>
    <n v="4"/>
    <n v="248"/>
    <x v="4"/>
    <x v="2"/>
    <s v="Amazon Logistics"/>
    <x v="61"/>
    <x v="0"/>
    <m/>
    <x v="1"/>
    <x v="1"/>
    <x v="0"/>
    <s v="Elijah Lewis"/>
    <x v="0"/>
    <x v="21"/>
  </r>
  <r>
    <x v="72"/>
    <s v="CUST028"/>
    <s v="PROD006"/>
    <x v="0"/>
    <n v="95"/>
    <n v="2"/>
    <n v="190"/>
    <x v="2"/>
    <x v="0"/>
    <s v="UPS"/>
    <x v="62"/>
    <x v="0"/>
    <d v="2023-07-25T00:00:00"/>
    <x v="0"/>
    <x v="2"/>
    <x v="0"/>
    <s v="Lily Bennett"/>
    <x v="0"/>
    <x v="9"/>
  </r>
  <r>
    <x v="73"/>
    <s v="CUST016"/>
    <s v="PROD021"/>
    <x v="3"/>
    <n v="36"/>
    <n v="4"/>
    <n v="144"/>
    <x v="0"/>
    <x v="1"/>
    <s v="FedEx"/>
    <x v="63"/>
    <x v="24"/>
    <m/>
    <x v="1"/>
    <x v="0"/>
    <x v="3"/>
    <s v="Elijah Lewis"/>
    <x v="2"/>
    <x v="5"/>
  </r>
  <r>
    <x v="74"/>
    <s v="CUST042"/>
    <s v="PROD017"/>
    <x v="1"/>
    <n v="73"/>
    <n v="5"/>
    <n v="365"/>
    <x v="0"/>
    <x v="2"/>
    <s v="DHL"/>
    <x v="64"/>
    <x v="0"/>
    <m/>
    <x v="1"/>
    <x v="3"/>
    <x v="0"/>
    <s v="Noah Wilson"/>
    <x v="0"/>
    <x v="10"/>
  </r>
  <r>
    <x v="75"/>
    <s v="CUST023"/>
    <s v="PROD019"/>
    <x v="0"/>
    <n v="43"/>
    <n v="4"/>
    <n v="172"/>
    <x v="4"/>
    <x v="1"/>
    <s v="DHL"/>
    <x v="65"/>
    <x v="25"/>
    <m/>
    <x v="1"/>
    <x v="2"/>
    <x v="3"/>
    <s v="Charlotte Reed"/>
    <x v="2"/>
    <x v="6"/>
  </r>
  <r>
    <x v="76"/>
    <s v="CUST004"/>
    <s v="PROD016"/>
    <x v="4"/>
    <n v="214"/>
    <n v="5"/>
    <n v="1070"/>
    <x v="4"/>
    <x v="1"/>
    <s v="UPS"/>
    <x v="22"/>
    <x v="26"/>
    <m/>
    <x v="1"/>
    <x v="0"/>
    <x v="1"/>
    <s v="Noah Wilson"/>
    <x v="1"/>
    <x v="19"/>
  </r>
  <r>
    <x v="77"/>
    <s v="CUST048"/>
    <s v="PROD002"/>
    <x v="3"/>
    <n v="42"/>
    <n v="2"/>
    <n v="84"/>
    <x v="0"/>
    <x v="0"/>
    <s v="UPS"/>
    <x v="66"/>
    <x v="0"/>
    <d v="2023-12-06T00:00:00"/>
    <x v="0"/>
    <x v="1"/>
    <x v="0"/>
    <s v="Noah Wilson"/>
    <x v="0"/>
    <x v="15"/>
  </r>
  <r>
    <x v="78"/>
    <s v="CUST048"/>
    <s v="PROD012"/>
    <x v="0"/>
    <n v="46"/>
    <n v="1"/>
    <n v="46"/>
    <x v="3"/>
    <x v="2"/>
    <s v="UPS"/>
    <x v="7"/>
    <x v="0"/>
    <m/>
    <x v="1"/>
    <x v="0"/>
    <x v="0"/>
    <s v="Noah Wilson"/>
    <x v="0"/>
    <x v="0"/>
  </r>
  <r>
    <x v="79"/>
    <s v="CUST032"/>
    <s v="PROD018"/>
    <x v="1"/>
    <n v="95"/>
    <n v="4"/>
    <n v="380"/>
    <x v="1"/>
    <x v="1"/>
    <s v="UPS"/>
    <x v="67"/>
    <x v="27"/>
    <m/>
    <x v="1"/>
    <x v="1"/>
    <x v="2"/>
    <s v="Luke Gray"/>
    <x v="2"/>
    <x v="1"/>
  </r>
  <r>
    <x v="80"/>
    <s v="CUST001"/>
    <s v="PROD011"/>
    <x v="4"/>
    <n v="174"/>
    <n v="2"/>
    <n v="348"/>
    <x v="2"/>
    <x v="2"/>
    <s v="UPS"/>
    <x v="68"/>
    <x v="0"/>
    <m/>
    <x v="1"/>
    <x v="3"/>
    <x v="0"/>
    <s v="James Miller"/>
    <x v="0"/>
    <x v="18"/>
  </r>
  <r>
    <x v="81"/>
    <s v="CUST046"/>
    <s v="PROD005"/>
    <x v="0"/>
    <n v="27"/>
    <n v="5"/>
    <n v="135"/>
    <x v="1"/>
    <x v="0"/>
    <s v="Amazon Logistics"/>
    <x v="30"/>
    <x v="0"/>
    <d v="2023-06-18T00:00:00"/>
    <x v="0"/>
    <x v="2"/>
    <x v="0"/>
    <s v="Emily Johnson"/>
    <x v="0"/>
    <x v="11"/>
  </r>
  <r>
    <x v="82"/>
    <s v="CUST021"/>
    <s v="PROD005"/>
    <x v="2"/>
    <n v="27"/>
    <n v="4"/>
    <n v="108"/>
    <x v="2"/>
    <x v="1"/>
    <s v="USPS"/>
    <x v="69"/>
    <x v="28"/>
    <m/>
    <x v="1"/>
    <x v="2"/>
    <x v="1"/>
    <s v="Zoe Mitchell"/>
    <x v="1"/>
    <x v="11"/>
  </r>
  <r>
    <x v="83"/>
    <s v="CUST015"/>
    <s v="PROD022"/>
    <x v="2"/>
    <n v="65"/>
    <n v="2"/>
    <n v="130"/>
    <x v="2"/>
    <x v="2"/>
    <s v="DHL"/>
    <x v="33"/>
    <x v="0"/>
    <m/>
    <x v="1"/>
    <x v="2"/>
    <x v="0"/>
    <s v="Ava White"/>
    <x v="0"/>
    <x v="16"/>
  </r>
  <r>
    <x v="84"/>
    <s v="CUST045"/>
    <s v="PROD019"/>
    <x v="1"/>
    <n v="43"/>
    <n v="5"/>
    <n v="215"/>
    <x v="4"/>
    <x v="2"/>
    <s v="DHL"/>
    <x v="61"/>
    <x v="0"/>
    <m/>
    <x v="1"/>
    <x v="2"/>
    <x v="0"/>
    <s v="Emily Johnson"/>
    <x v="0"/>
    <x v="6"/>
  </r>
  <r>
    <x v="85"/>
    <s v="CUST007"/>
    <s v="PROD016"/>
    <x v="4"/>
    <n v="210"/>
    <n v="1"/>
    <n v="210"/>
    <x v="2"/>
    <x v="2"/>
    <s v="UPS"/>
    <x v="70"/>
    <x v="0"/>
    <m/>
    <x v="1"/>
    <x v="0"/>
    <x v="0"/>
    <s v="Liam Walker"/>
    <x v="0"/>
    <x v="19"/>
  </r>
  <r>
    <x v="86"/>
    <s v="CUST043"/>
    <s v="PROD021"/>
    <x v="2"/>
    <n v="37"/>
    <n v="3"/>
    <n v="111"/>
    <x v="1"/>
    <x v="2"/>
    <s v="UPS"/>
    <x v="56"/>
    <x v="0"/>
    <m/>
    <x v="1"/>
    <x v="0"/>
    <x v="0"/>
    <s v="Lily Reed"/>
    <x v="0"/>
    <x v="5"/>
  </r>
  <r>
    <x v="87"/>
    <s v="CUST007"/>
    <s v="PROD001"/>
    <x v="2"/>
    <n v="788"/>
    <n v="4"/>
    <n v="3152"/>
    <x v="4"/>
    <x v="2"/>
    <s v="Amazon Logistics"/>
    <x v="53"/>
    <x v="0"/>
    <m/>
    <x v="1"/>
    <x v="3"/>
    <x v="0"/>
    <s v="Liam Walker"/>
    <x v="0"/>
    <x v="14"/>
  </r>
  <r>
    <x v="88"/>
    <s v="CUST007"/>
    <s v="PROD016"/>
    <x v="4"/>
    <n v="217"/>
    <n v="5"/>
    <n v="1085"/>
    <x v="4"/>
    <x v="2"/>
    <s v="FedEx"/>
    <x v="71"/>
    <x v="0"/>
    <m/>
    <x v="1"/>
    <x v="0"/>
    <x v="0"/>
    <s v="Liam Walker"/>
    <x v="0"/>
    <x v="19"/>
  </r>
  <r>
    <x v="89"/>
    <s v="CUST007"/>
    <s v="PROD003"/>
    <x v="4"/>
    <n v="138"/>
    <n v="4"/>
    <n v="552"/>
    <x v="1"/>
    <x v="2"/>
    <s v="FedEx"/>
    <x v="63"/>
    <x v="0"/>
    <m/>
    <x v="1"/>
    <x v="0"/>
    <x v="0"/>
    <s v="Liam Walker"/>
    <x v="0"/>
    <x v="7"/>
  </r>
  <r>
    <x v="90"/>
    <s v="CUST031"/>
    <s v="PROD001"/>
    <x v="3"/>
    <n v="803"/>
    <n v="2"/>
    <n v="1606"/>
    <x v="0"/>
    <x v="1"/>
    <s v="FedEx"/>
    <x v="72"/>
    <x v="29"/>
    <m/>
    <x v="1"/>
    <x v="3"/>
    <x v="3"/>
    <s v="Mason Collins"/>
    <x v="2"/>
    <x v="14"/>
  </r>
  <r>
    <x v="91"/>
    <s v="CUST013"/>
    <s v="PROD014"/>
    <x v="0"/>
    <n v="248"/>
    <n v="5"/>
    <n v="1240"/>
    <x v="2"/>
    <x v="0"/>
    <s v="UPS"/>
    <x v="73"/>
    <x v="0"/>
    <d v="2023-02-25T00:00:00"/>
    <x v="0"/>
    <x v="3"/>
    <x v="0"/>
    <s v="Olivia Martinez"/>
    <x v="0"/>
    <x v="8"/>
  </r>
  <r>
    <x v="92"/>
    <s v="CUST036"/>
    <s v="PROD016"/>
    <x v="1"/>
    <n v="210"/>
    <n v="3"/>
    <n v="630"/>
    <x v="0"/>
    <x v="1"/>
    <s v="DHL"/>
    <x v="74"/>
    <x v="30"/>
    <m/>
    <x v="1"/>
    <x v="0"/>
    <x v="1"/>
    <s v="Ethan Davis"/>
    <x v="1"/>
    <x v="19"/>
  </r>
  <r>
    <x v="93"/>
    <s v="CUST013"/>
    <s v="PROD004"/>
    <x v="0"/>
    <n v="62"/>
    <n v="2"/>
    <n v="124"/>
    <x v="1"/>
    <x v="0"/>
    <s v="FedEx"/>
    <x v="75"/>
    <x v="0"/>
    <d v="2023-12-12T00:00:00"/>
    <x v="0"/>
    <x v="1"/>
    <x v="0"/>
    <s v="Olivia Martinez"/>
    <x v="0"/>
    <x v="21"/>
  </r>
  <r>
    <x v="94"/>
    <s v="CUST043"/>
    <s v="PROD009"/>
    <x v="2"/>
    <n v="11"/>
    <n v="5"/>
    <n v="55"/>
    <x v="4"/>
    <x v="0"/>
    <s v="Amazon Logistics"/>
    <x v="76"/>
    <x v="0"/>
    <d v="2023-06-12T00:00:00"/>
    <x v="0"/>
    <x v="4"/>
    <x v="0"/>
    <s v="Lily Reed"/>
    <x v="0"/>
    <x v="17"/>
  </r>
  <r>
    <x v="95"/>
    <s v="CUST017"/>
    <s v="PROD015"/>
    <x v="0"/>
    <n v="21"/>
    <n v="2"/>
    <n v="42"/>
    <x v="3"/>
    <x v="1"/>
    <s v="UPS"/>
    <x v="77"/>
    <x v="31"/>
    <m/>
    <x v="1"/>
    <x v="4"/>
    <x v="2"/>
    <s v="Emma King"/>
    <x v="2"/>
    <x v="12"/>
  </r>
  <r>
    <x v="96"/>
    <s v="CUST023"/>
    <s v="PROD018"/>
    <x v="4"/>
    <n v="95"/>
    <n v="5"/>
    <n v="475"/>
    <x v="3"/>
    <x v="1"/>
    <s v="Amazon Logistics"/>
    <x v="78"/>
    <x v="8"/>
    <m/>
    <x v="1"/>
    <x v="1"/>
    <x v="2"/>
    <s v="Charlotte Reed"/>
    <x v="2"/>
    <x v="1"/>
  </r>
  <r>
    <x v="97"/>
    <s v="CUST044"/>
    <s v="PROD016"/>
    <x v="2"/>
    <n v="215"/>
    <n v="2"/>
    <n v="430"/>
    <x v="2"/>
    <x v="1"/>
    <s v="Amazon Logistics"/>
    <x v="79"/>
    <x v="10"/>
    <m/>
    <x v="1"/>
    <x v="0"/>
    <x v="6"/>
    <s v="Grace Ward"/>
    <x v="2"/>
    <x v="19"/>
  </r>
  <r>
    <x v="98"/>
    <s v="CUST034"/>
    <s v="PROD019"/>
    <x v="4"/>
    <n v="43"/>
    <n v="5"/>
    <n v="215"/>
    <x v="1"/>
    <x v="0"/>
    <s v="UPS"/>
    <x v="63"/>
    <x v="0"/>
    <d v="2023-01-24T00:00:00"/>
    <x v="0"/>
    <x v="2"/>
    <x v="0"/>
    <s v="Lily Simmons"/>
    <x v="0"/>
    <x v="6"/>
  </r>
  <r>
    <x v="99"/>
    <s v="CUST009"/>
    <s v="PROD002"/>
    <x v="4"/>
    <n v="42"/>
    <n v="4"/>
    <n v="168"/>
    <x v="4"/>
    <x v="2"/>
    <s v="DHL"/>
    <x v="80"/>
    <x v="0"/>
    <m/>
    <x v="1"/>
    <x v="1"/>
    <x v="0"/>
    <s v="Jackson Allen"/>
    <x v="0"/>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633477-BD8F-43E5-AC6D-C963095F53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G10" firstHeaderRow="1" firstDataRow="2" firstDataCol="1"/>
  <pivotFields count="23">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axis="axisCol"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14"/>
  </colFields>
  <colItems count="6">
    <i>
      <x/>
    </i>
    <i>
      <x v="1"/>
    </i>
    <i>
      <x v="2"/>
    </i>
    <i>
      <x v="3"/>
    </i>
    <i>
      <x v="4"/>
    </i>
    <i t="grand">
      <x/>
    </i>
  </colItems>
  <dataFields count="1">
    <dataField name="Sum of Total Amount" fld="6" baseField="0" baseItem="0"/>
  </dataFields>
  <chartFormats count="12">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6" format="2" series="1">
      <pivotArea type="data" outline="0" fieldPosition="0">
        <references count="2">
          <reference field="4294967294" count="1" selected="0">
            <x v="0"/>
          </reference>
          <reference field="14" count="1" selected="0">
            <x v="2"/>
          </reference>
        </references>
      </pivotArea>
    </chartFormat>
    <chartFormat chart="6" format="3" series="1">
      <pivotArea type="data" outline="0" fieldPosition="0">
        <references count="2">
          <reference field="4294967294" count="1" selected="0">
            <x v="0"/>
          </reference>
          <reference field="14" count="1" selected="0">
            <x v="3"/>
          </reference>
        </references>
      </pivotArea>
    </chartFormat>
    <chartFormat chart="6" format="4" series="1">
      <pivotArea type="data" outline="0" fieldPosition="0">
        <references count="2">
          <reference field="4294967294" count="1" selected="0">
            <x v="0"/>
          </reference>
          <reference field="14" count="1" selected="0">
            <x v="4"/>
          </reference>
        </references>
      </pivotArea>
    </chartFormat>
    <chartFormat chart="12" format="10" series="1">
      <pivotArea type="data" outline="0" fieldPosition="0">
        <references count="2">
          <reference field="4294967294" count="1" selected="0">
            <x v="0"/>
          </reference>
          <reference field="14" count="1" selected="0">
            <x v="0"/>
          </reference>
        </references>
      </pivotArea>
    </chartFormat>
    <chartFormat chart="12" format="11" series="1">
      <pivotArea type="data" outline="0" fieldPosition="0">
        <references count="2">
          <reference field="4294967294" count="1" selected="0">
            <x v="0"/>
          </reference>
          <reference field="14" count="1" selected="0">
            <x v="1"/>
          </reference>
        </references>
      </pivotArea>
    </chartFormat>
    <chartFormat chart="12" format="12" series="1">
      <pivotArea type="data" outline="0" fieldPosition="0">
        <references count="2">
          <reference field="4294967294" count="1" selected="0">
            <x v="0"/>
          </reference>
          <reference field="14" count="1" selected="0">
            <x v="2"/>
          </reference>
        </references>
      </pivotArea>
    </chartFormat>
    <chartFormat chart="12" format="13" series="1">
      <pivotArea type="data" outline="0" fieldPosition="0">
        <references count="2">
          <reference field="4294967294" count="1" selected="0">
            <x v="0"/>
          </reference>
          <reference field="14" count="1" selected="0">
            <x v="3"/>
          </reference>
        </references>
      </pivotArea>
    </chartFormat>
    <chartFormat chart="12" format="14" series="1">
      <pivotArea type="data" outline="0" fieldPosition="0">
        <references count="2">
          <reference field="4294967294" count="1" selected="0">
            <x v="0"/>
          </reference>
          <reference field="14" count="1" selected="0">
            <x v="4"/>
          </reference>
        </references>
      </pivotArea>
    </chartFormat>
    <chartFormat chart="12" format="15"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30E125-2571-4287-88E1-5AFA8E91D3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7" firstHeaderRow="1" firstDataRow="1" firstDataCol="1"/>
  <pivotFields count="23">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Count of Order ID" fld="0" subtotal="count" baseField="0" baseItem="0"/>
  </dataField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8" count="1" selected="0">
            <x v="1"/>
          </reference>
        </references>
      </pivotArea>
    </chartFormat>
    <chartFormat chart="13" format="2">
      <pivotArea type="data" outline="0" fieldPosition="0">
        <references count="2">
          <reference field="4294967294" count="1" selected="0">
            <x v="0"/>
          </reference>
          <reference field="8" count="1" selected="0">
            <x v="2"/>
          </reference>
        </references>
      </pivotArea>
    </chartFormat>
    <chartFormat chart="13" format="3">
      <pivotArea type="data" outline="0" fieldPosition="0">
        <references count="2">
          <reference field="4294967294" count="1" selected="0">
            <x v="0"/>
          </reference>
          <reference field="8" count="1" selected="0">
            <x v="0"/>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8" count="1" selected="0">
            <x v="0"/>
          </reference>
        </references>
      </pivotArea>
    </chartFormat>
    <chartFormat chart="33" format="10">
      <pivotArea type="data" outline="0" fieldPosition="0">
        <references count="2">
          <reference field="4294967294" count="1" selected="0">
            <x v="0"/>
          </reference>
          <reference field="8" count="1" selected="0">
            <x v="1"/>
          </reference>
        </references>
      </pivotArea>
    </chartFormat>
    <chartFormat chart="33"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B3412A-555A-468A-BFD1-ADB8628A4C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B10" firstHeaderRow="1" firstDataRow="1" firstDataCol="1" rowPageCount="2" colPageCount="1"/>
  <pivotFields count="23">
    <pivotField showAll="0"/>
    <pivotField showAll="0"/>
    <pivotField showAll="0"/>
    <pivotField axis="axisRow" showAll="0">
      <items count="6">
        <item x="3"/>
        <item x="1"/>
        <item x="0"/>
        <item x="2"/>
        <item x="4"/>
        <item t="default"/>
      </items>
    </pivotField>
    <pivotField showAll="0"/>
    <pivotField showAll="0"/>
    <pivotField showAll="0"/>
    <pivotField axis="axisPage"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axis="axisPage" showAll="0">
      <items count="6">
        <item x="4"/>
        <item x="3"/>
        <item x="2"/>
        <item x="0"/>
        <item x="1"/>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pageFields count="2">
    <pageField fld="14" hier="-1"/>
    <pageField fld="7" hier="-1"/>
  </pageFields>
  <dataFields count="1">
    <dataField name="Average of Average Delivery Time " fld="15" subtotal="average" baseField="0" baseItem="0" numFmtId="1"/>
  </dataFields>
  <formats count="2">
    <format dxfId="21">
      <pivotArea outline="0" collapsedLevelsAreSubtotals="1" fieldPosition="0"/>
    </format>
    <format dxfId="20">
      <pivotArea grandRow="1"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6196EA-E83F-44E8-B3A9-9AF1ABFFF8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Page"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8" hier="-1"/>
  </pageField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D1FC58-6736-4AC6-ABE6-77A624D6E8F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1741C0-FAC1-4DC9-8406-C2DC3348114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1" firstDataRow="2" firstDataCol="1"/>
  <pivotFields count="23">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axis="axisCol"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17"/>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19D107-A40B-4FBE-A2A4-9A3F023DF9C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3">
    <pivotField showAll="0"/>
    <pivotField showAll="0"/>
    <pivotField showAll="0"/>
    <pivotField axis="axisRow" showAll="0" measureFilter="1"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v="2"/>
    </i>
    <i>
      <x v="4"/>
    </i>
    <i>
      <x v="3"/>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8B0652-E428-4537-AF13-29F52E9B9B1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3">
    <i>
      <x v="11"/>
    </i>
    <i>
      <x v="19"/>
    </i>
    <i t="grand">
      <x/>
    </i>
  </rowItems>
  <colItems count="1">
    <i/>
  </colItems>
  <dataFields count="1">
    <dataField name="Count of Total Amount" fld="6" subtotal="count"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3CF1B9-B318-4B02-A0B8-FC4A55D5995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16"/>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3542FF-3718-481A-811A-875F981A7DC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axis="axisRow"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9"/>
    <field x="10"/>
  </rowFields>
  <rowItems count="13">
    <i>
      <x v="1"/>
    </i>
    <i>
      <x v="2"/>
    </i>
    <i>
      <x v="3"/>
    </i>
    <i>
      <x v="4"/>
    </i>
    <i>
      <x v="5"/>
    </i>
    <i>
      <x v="6"/>
    </i>
    <i>
      <x v="7"/>
    </i>
    <i>
      <x v="8"/>
    </i>
    <i>
      <x v="9"/>
    </i>
    <i>
      <x v="10"/>
    </i>
    <i>
      <x v="11"/>
    </i>
    <i>
      <x v="12"/>
    </i>
    <i t="grand">
      <x/>
    </i>
  </rowItems>
  <colItems count="1">
    <i/>
  </colItems>
  <dataFields count="1">
    <dataField name="Sum of Total Amount" fld="6"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0B2FD2-3CB9-4A84-A10D-24508FDBC3A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3">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2"/>
    </i>
    <i>
      <x v="4"/>
    </i>
    <i>
      <x v="3"/>
    </i>
    <i>
      <x/>
    </i>
    <i>
      <x v="1"/>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1B4F71-7716-4158-9718-026BC981EE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Col" showAll="0">
      <items count="3">
        <item x="1"/>
        <item x="0"/>
        <item t="default"/>
      </items>
    </pivotField>
    <pivotField showAll="0">
      <items count="6">
        <item x="4"/>
        <item x="3"/>
        <item x="2"/>
        <item x="0"/>
        <item x="1"/>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3188C8-04F0-426B-9409-3D205ABC3B1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2" firstHeaderRow="1" firstDataRow="1" firstDataCol="1" rowPageCount="1" colPageCount="1"/>
  <pivotFields count="23">
    <pivotField dataField="1" showAll="0"/>
    <pivotField showAll="0"/>
    <pivotField showAll="0"/>
    <pivotField showAll="0"/>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Page" showAll="0">
      <items count="3">
        <item x="1"/>
        <item x="0"/>
        <item t="default"/>
      </items>
    </pivotField>
    <pivotField showAll="0"/>
    <pivotField axis="axisRow" showAll="0">
      <items count="9">
        <item x="4"/>
        <item x="1"/>
        <item h="1" x="2"/>
        <item h="1" x="5"/>
        <item h="1" x="6"/>
        <item h="1" x="3"/>
        <item h="1" x="7"/>
        <item h="1" x="0"/>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5"/>
  </rowFields>
  <rowItems count="3">
    <i>
      <x/>
    </i>
    <i>
      <x v="1"/>
    </i>
    <i t="grand">
      <x/>
    </i>
  </rowItems>
  <colItems count="1">
    <i/>
  </colItems>
  <pageFields count="1">
    <pageField fld="13" item="0" hier="-1"/>
  </pageFields>
  <dataFields count="1">
    <dataField name="Count of Order ID" fld="0" subtotal="count" baseField="0" baseItem="0"/>
  </dataFields>
  <formats count="1">
    <format dxfId="1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7391A5-3C61-4E2B-B26F-384E03F3D3B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D21" firstHeaderRow="1" firstDataRow="2"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Col" showAll="0">
      <items count="3">
        <item x="1"/>
        <item x="0"/>
        <item t="default"/>
      </items>
    </pivotField>
    <pivotField showAll="0">
      <items count="6">
        <item x="4"/>
        <item x="3"/>
        <item x="2"/>
        <item x="0"/>
        <item x="1"/>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A1959A-D05D-4453-88BA-9D07694F6A3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3">
    <pivotField showAll="0"/>
    <pivotField showAll="0"/>
    <pivotField showAll="0"/>
    <pivotField showAll="0"/>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axis="axisRow" showAll="0" measureFilter="1"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4"/>
    <field x="18"/>
  </rowFields>
  <rowItems count="7">
    <i>
      <x v="1"/>
    </i>
    <i r="1">
      <x v="16"/>
    </i>
    <i r="1">
      <x v="17"/>
    </i>
    <i r="1">
      <x v="7"/>
    </i>
    <i r="1">
      <x v="8"/>
    </i>
    <i r="1">
      <x v="2"/>
    </i>
    <i t="grand">
      <x/>
    </i>
  </rowItems>
  <colItems count="1">
    <i/>
  </colItems>
  <dataFields count="1">
    <dataField name="Sum of Total Amount" fld="6" baseField="0" baseItem="0"/>
  </dataFields>
  <formats count="4">
    <format dxfId="19">
      <pivotArea collapsedLevelsAreSubtotals="1" fieldPosition="0">
        <references count="2">
          <reference field="14" count="1" selected="0">
            <x v="1"/>
          </reference>
          <reference field="18" count="1">
            <x v="16"/>
          </reference>
        </references>
      </pivotArea>
    </format>
    <format dxfId="18">
      <pivotArea dataOnly="0" labelOnly="1" fieldPosition="0">
        <references count="2">
          <reference field="14" count="1" selected="0">
            <x v="1"/>
          </reference>
          <reference field="18" count="1">
            <x v="16"/>
          </reference>
        </references>
      </pivotArea>
    </format>
    <format dxfId="17">
      <pivotArea dataOnly="0" labelOnly="1" fieldPosition="0">
        <references count="1">
          <reference field="14" count="1">
            <x v="1"/>
          </reference>
        </references>
      </pivotArea>
    </format>
    <format dxfId="16">
      <pivotArea dataOnly="0" labelOnly="1" fieldPosition="0">
        <references count="1">
          <reference field="14" count="1">
            <x v="1"/>
          </reference>
        </references>
      </pivotArea>
    </format>
  </formats>
  <pivotTableStyleInfo name="PivotStyleLight16" showRowHeaders="1" showColHeaders="1" showRowStripes="0" showColStripes="0" showLastColumn="1"/>
  <filters count="1">
    <filter fld="1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757C3B2-D66C-42BC-8C9D-03028C1870E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rowPageCount="1" colPageCount="1"/>
  <pivotFields count="23">
    <pivotField dataField="1" showAll="0"/>
    <pivotField showAll="0"/>
    <pivotField showAll="0"/>
    <pivotField showAll="0"/>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Page" showAll="0">
      <items count="3">
        <item x="1"/>
        <item x="0"/>
        <item t="default"/>
      </items>
    </pivotField>
    <pivotField showAll="0"/>
    <pivotField axis="axisRow" showAll="0">
      <items count="9">
        <item x="4"/>
        <item x="1"/>
        <item h="1" x="2"/>
        <item h="1" x="5"/>
        <item h="1" x="6"/>
        <item h="1" x="3"/>
        <item h="1" x="7"/>
        <item h="1" x="0"/>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5"/>
  </rowFields>
  <rowItems count="3">
    <i>
      <x/>
    </i>
    <i>
      <x v="1"/>
    </i>
    <i t="grand">
      <x/>
    </i>
  </rowItems>
  <colItems count="1">
    <i/>
  </colItems>
  <pageFields count="1">
    <pageField fld="13" item="0"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AD66EF4-25E2-4CDC-BCB8-079B388A22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09:AB111" firstHeaderRow="1" firstDataRow="2" firstDataCol="1"/>
  <pivotFields count="23">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axis="axisCol"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17"/>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990033C-D272-4515-AFC8-96BC4B8D49E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M36:CN39" firstHeaderRow="1" firstDataRow="1" firstDataCol="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3">
    <i>
      <x v="11"/>
    </i>
    <i>
      <x v="19"/>
    </i>
    <i t="grand">
      <x/>
    </i>
  </rowItems>
  <colItems count="1">
    <i/>
  </colItems>
  <dataFields count="1">
    <dataField name="Count of Total Amount" fld="6" subtotal="count"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BE17960-FE76-46FF-AA6D-9E5422A8436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G24:BH27" firstHeaderRow="1" firstDataRow="1" firstDataCol="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3">
    <i>
      <x v="11"/>
    </i>
    <i>
      <x v="19"/>
    </i>
    <i t="grand">
      <x/>
    </i>
  </rowItems>
  <colItems count="1">
    <i/>
  </colItems>
  <dataFields count="1">
    <dataField name="Count of Total Amount" fld="6" subtotal="count" baseField="0" baseItem="0"/>
  </dataFields>
  <pivotTableStyleInfo name="PivotStyleLight16" showRowHeaders="1" showColHeaders="1" showRowStripes="0" showColStripes="0" showLastColumn="1"/>
  <filters count="1">
    <filter fld="18"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2C8BE52-12B2-49F3-829B-86C223E7AEB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P34:BT36" firstHeaderRow="1" firstDataRow="2" firstDataCol="1"/>
  <pivotFields count="23">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axis="axisCol"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17"/>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D668290-96DF-4F7E-8FE1-3AAB3593B7D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CF24:CG30" firstHeaderRow="1" firstDataRow="1" firstDataCol="1"/>
  <pivotFields count="23">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1683D31-7513-458E-BE01-D7FE93FC7D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25:BE27" firstHeaderRow="1" firstDataRow="1" firstDataCol="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16"/>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3411E7A-FBFF-49F0-9C83-B376FC4609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P41:BS48" firstHeaderRow="1" firstDataRow="2"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Col"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39F4447-4F37-46E9-85EE-A9A4A65BA0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110:AE111" firstHeaderRow="1" firstDataRow="1" firstDataCol="0"/>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C9EA5E1-62FC-4589-8CD2-207FA1A6838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J37:CK39" firstHeaderRow="1" firstDataRow="1" firstDataCol="1"/>
  <pivotFields count="23">
    <pivotField showAll="0"/>
    <pivotField showAll="0"/>
    <pivotField showAll="0"/>
    <pivotField showAll="0"/>
    <pivotField showAll="0"/>
    <pivotField showAll="0"/>
    <pivotField dataField="1" showAll="0"/>
    <pivotField showAll="0">
      <items count="6">
        <item x="3"/>
        <item x="0"/>
        <item x="1"/>
        <item x="4"/>
        <item x="2"/>
        <item t="default"/>
      </items>
    </pivotField>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16"/>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7782670-B934-4CA8-8981-727E61598DA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Z37:CA43" firstHeaderRow="1" firstDataRow="1" firstDataCol="1"/>
  <pivotFields count="23">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2"/>
    </i>
    <i>
      <x v="4"/>
    </i>
    <i>
      <x v="3"/>
    </i>
    <i>
      <x/>
    </i>
    <i>
      <x v="1"/>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07325B4-6664-4856-9B4A-CC3EAF737C6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25:BA26" firstHeaderRow="1" firstDataRow="1" firstDataCol="0"/>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1394B3-0BA9-43C4-83EE-87DEA05C32CA}" sourceName="Region">
  <pivotTables>
    <pivotTable tabId="18" name="PivotTable1"/>
    <pivotTable tabId="19" name="PivotTable2"/>
    <pivotTable tabId="20" name="PivotTable3"/>
    <pivotTable tabId="22" name="PivotTable5"/>
    <pivotTable tabId="25" name="PivotTable8"/>
    <pivotTable tabId="24" name="PivotTable7"/>
    <pivotTable tabId="27" name="PivotTable10"/>
    <pivotTable tabId="26" name="PivotTable9"/>
    <pivotTable tabId="23" name="PivotTable6"/>
    <pivotTable tabId="30" name="PivotTable13"/>
    <pivotTable tabId="29" name="PivotTable12"/>
    <pivotTable tabId="33" name="PivotTable14"/>
    <pivotTable tabId="33" name="PivotTable15"/>
    <pivotTable tabId="33" name="PivotTable16"/>
    <pivotTable tabId="33" name="PivotTable17"/>
    <pivotTable tabId="33" name="PivotTable18"/>
    <pivotTable tabId="33" name="PivotTable3"/>
    <pivotTable tabId="33" name="PivotTable4"/>
    <pivotTable tabId="33" name="PivotTable5"/>
    <pivotTable tabId="33" name="PivotTable7"/>
    <pivotTable tabId="33" name="PivotTable8"/>
  </pivotTables>
  <data>
    <tabular pivotCacheId="59243591">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192419E-8C0B-4BED-8393-E004FCFF41FE}" sourceName="Payment Method">
  <pivotTables>
    <pivotTable tabId="18" name="PivotTable1"/>
    <pivotTable tabId="19" name="PivotTable2"/>
    <pivotTable tabId="20" name="PivotTable3"/>
    <pivotTable tabId="22" name="PivotTable5"/>
    <pivotTable tabId="25" name="PivotTable8"/>
    <pivotTable tabId="24" name="PivotTable7"/>
    <pivotTable tabId="27" name="PivotTable10"/>
    <pivotTable tabId="26" name="PivotTable9"/>
    <pivotTable tabId="23" name="PivotTable6"/>
    <pivotTable tabId="30" name="PivotTable13"/>
    <pivotTable tabId="29" name="PivotTable12"/>
    <pivotTable tabId="33" name="PivotTable14"/>
    <pivotTable tabId="33" name="PivotTable15"/>
    <pivotTable tabId="33" name="PivotTable16"/>
    <pivotTable tabId="33" name="PivotTable17"/>
    <pivotTable tabId="33" name="PivotTable18"/>
    <pivotTable tabId="33" name="PivotTable19"/>
    <pivotTable tabId="33" name="PivotTable3"/>
    <pivotTable tabId="33" name="PivotTable4"/>
    <pivotTable tabId="33" name="PivotTable5"/>
    <pivotTable tabId="33" name="PivotTable7"/>
    <pivotTable tabId="33" name="PivotTable8"/>
  </pivotTables>
  <data>
    <tabular pivotCacheId="59243591">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74B75A73-890F-4FE7-8CF6-FA83AE13A146}" sourceName="Delivery Status">
  <pivotTables>
    <pivotTable tabId="18" name="PivotTable1"/>
    <pivotTable tabId="19" name="PivotTable2"/>
    <pivotTable tabId="20" name="PivotTable3"/>
    <pivotTable tabId="22" name="PivotTable5"/>
    <pivotTable tabId="25" name="PivotTable8"/>
    <pivotTable tabId="24" name="PivotTable7"/>
    <pivotTable tabId="27" name="PivotTable10"/>
    <pivotTable tabId="26" name="PivotTable9"/>
    <pivotTable tabId="23" name="PivotTable6"/>
    <pivotTable tabId="30" name="PivotTable13"/>
    <pivotTable tabId="29" name="PivotTable12"/>
    <pivotTable tabId="33" name="PivotTable14"/>
    <pivotTable tabId="33" name="PivotTable15"/>
    <pivotTable tabId="33" name="PivotTable16"/>
    <pivotTable tabId="33" name="PivotTable17"/>
    <pivotTable tabId="33" name="PivotTable18"/>
    <pivotTable tabId="33" name="PivotTable3"/>
    <pivotTable tabId="33" name="PivotTable4"/>
    <pivotTable tabId="33" name="PivotTable5"/>
    <pivotTable tabId="33" name="PivotTable7"/>
    <pivotTable tabId="33" name="PivotTable8"/>
  </pivotTables>
  <data>
    <tabular pivotCacheId="5924359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cancel" xr10:uid="{1241100C-9B39-40A8-87DB-884D307B21BD}" sourceName="is cancel">
  <pivotTables>
    <pivotTable tabId="29" name="PivotTable12"/>
    <pivotTable tabId="18" name="PivotTable1"/>
    <pivotTable tabId="19" name="PivotTable2"/>
    <pivotTable tabId="20" name="PivotTable3"/>
    <pivotTable tabId="35" name="PivotTable6"/>
    <pivotTable tabId="22" name="PivotTable5"/>
    <pivotTable tabId="25" name="PivotTable8"/>
    <pivotTable tabId="24" name="PivotTable7"/>
    <pivotTable tabId="27" name="PivotTable10"/>
    <pivotTable tabId="26" name="PivotTable9"/>
    <pivotTable tabId="23" name="PivotTable6"/>
    <pivotTable tabId="30" name="PivotTable13"/>
    <pivotTable tabId="33" name="PivotTable14"/>
    <pivotTable tabId="33" name="PivotTable15"/>
    <pivotTable tabId="33" name="PivotTable16"/>
    <pivotTable tabId="33" name="PivotTable17"/>
    <pivotTable tabId="33" name="PivotTable18"/>
    <pivotTable tabId="33" name="PivotTable19"/>
    <pivotTable tabId="33" name="PivotTable3"/>
    <pivotTable tabId="33" name="PivotTable4"/>
    <pivotTable tabId="33" name="PivotTable5"/>
    <pivotTable tabId="33" name="PivotTable7"/>
    <pivotTable tabId="33" name="PivotTable8"/>
    <pivotTable tabId="37" name="PivotTable10"/>
  </pivotTables>
  <data>
    <tabular pivotCacheId="5924359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F16E1BA-282A-4F94-94EA-BE28116C6256}" sourceName="Product Category">
  <pivotTables>
    <pivotTable tabId="18" name="PivotTable1"/>
    <pivotTable tabId="19" name="PivotTable2"/>
    <pivotTable tabId="20" name="PivotTable3"/>
    <pivotTable tabId="35" name="PivotTable6"/>
    <pivotTable tabId="22" name="PivotTable5"/>
    <pivotTable tabId="25" name="PivotTable8"/>
    <pivotTable tabId="24" name="PivotTable7"/>
    <pivotTable tabId="27" name="PivotTable10"/>
    <pivotTable tabId="26" name="PivotTable9"/>
    <pivotTable tabId="23" name="PivotTable6"/>
    <pivotTable tabId="30" name="PivotTable13"/>
    <pivotTable tabId="29" name="PivotTable12"/>
    <pivotTable tabId="37" name="PivotTable10"/>
    <pivotTable tabId="33" name="PivotTable14"/>
    <pivotTable tabId="33" name="PivotTable15"/>
    <pivotTable tabId="33" name="PivotTable16"/>
    <pivotTable tabId="33" name="PivotTable17"/>
    <pivotTable tabId="33" name="PivotTable18"/>
    <pivotTable tabId="33" name="PivotTable19"/>
    <pivotTable tabId="33" name="PivotTable3"/>
    <pivotTable tabId="33" name="PivotTable4"/>
    <pivotTable tabId="33" name="PivotTable5"/>
    <pivotTable tabId="33" name="PivotTable7"/>
    <pivotTable tabId="33" name="PivotTable8"/>
  </pivotTables>
  <data>
    <tabular pivotCacheId="59243591">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2C4CC46-FD1B-4E0F-963F-8404AB877399}" cache="Slicer_Region" caption="Region" rowHeight="234950"/>
  <slicer name="Payment Method" xr10:uid="{BB3AB032-FE95-4DCA-A98D-B24C2673489B}" cache="Slicer_Payment_Method" caption="Payment Method" rowHeight="234950"/>
  <slicer name="Delivery Status" xr10:uid="{D706E76A-91B1-46B3-A431-E8B368F36642}" cache="Slicer_Delivery_Status" caption="Delivery Status" rowHeight="234950"/>
  <slicer name="is cancel" xr10:uid="{C68602AB-3CCA-4E3D-A622-3D04808467AC}" cache="Slicer_is_cancel" caption="is cancel" rowHeight="234950"/>
  <slicer name="Product Category" xr10:uid="{338A1888-884C-490F-BF11-F93040F0AA3A}"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482C80-47D9-46AB-AD05-3809B0FAE5D0}" name="Table1" displayName="Table1" ref="A1:S101" totalsRowShown="0" tableBorderDxfId="14">
  <tableColumns count="19">
    <tableColumn id="1" xr3:uid="{47016FAD-65CB-4ACF-B9AA-E3806242A9F4}" name="Order ID" dataDxfId="13"/>
    <tableColumn id="2" xr3:uid="{BBD3FD06-E866-4001-AE8D-D0B0A5D87E93}" name="Customer ID" dataDxfId="12"/>
    <tableColumn id="3" xr3:uid="{1DA0EFA9-3E51-4AE3-984D-869D4753159E}" name="Product ID" dataDxfId="11"/>
    <tableColumn id="4" xr3:uid="{5FFB34AE-D274-44D1-8F71-310935EB018F}" name="Region" dataDxfId="10"/>
    <tableColumn id="5" xr3:uid="{2A061E60-0259-4D62-80B0-5843E6A778B9}" name="Sale Price/Unit" dataDxfId="9"/>
    <tableColumn id="6" xr3:uid="{8D09C0F2-5918-4C73-B6FB-C888162CA8E8}" name="Quantity" dataDxfId="8"/>
    <tableColumn id="7" xr3:uid="{4D1BAA63-ED10-4E65-B8E9-E0F5215B6016}" name="Total Amount" dataDxfId="7"/>
    <tableColumn id="8" xr3:uid="{564673C0-EFA8-459B-899E-0CF2960C6532}" name="Payment Method" dataDxfId="6"/>
    <tableColumn id="9" xr3:uid="{802A48C2-E61F-48C8-9F3D-B4717993373D}" name="Delivery Status" dataDxfId="5"/>
    <tableColumn id="10" xr3:uid="{249039DD-FF0A-4E41-B091-4329AF09912A}" name="Fulfillment Partner" dataDxfId="4"/>
    <tableColumn id="11" xr3:uid="{50674A37-EF11-4500-8938-8D7A587B3BC5}" name="Order Date" dataDxfId="3"/>
    <tableColumn id="12" xr3:uid="{796408B9-677F-480D-91CD-A0F614A8829D}" name="Delivery Date" dataDxfId="2"/>
    <tableColumn id="13" xr3:uid="{9187AB19-2C53-47B2-85E9-4169B20FBC04}" name="Cancel Date" dataDxfId="1"/>
    <tableColumn id="14" xr3:uid="{EDC60799-CEF2-4F16-9CBA-7D311429DB2B}" name="is cancel" dataDxfId="0">
      <calculatedColumnFormula>IF(OR(I2="cancelled",M2&lt;&gt;""),"YES","NO")</calculatedColumnFormula>
    </tableColumn>
    <tableColumn id="15" xr3:uid="{0D57CD57-0419-4015-B33A-3E7A12154B5C}" name="Product Category">
      <calculatedColumnFormula array="1">_xlfn.XLOOKUP(C2,'Product Master'!$A$2:A$23,'Product Master'!$C$2:$C$23)</calculatedColumnFormula>
    </tableColumn>
    <tableColumn id="16" xr3:uid="{1CE5F304-8DAF-4142-AA17-4BDD8D86E53E}" name="Average Delivery Time ">
      <calculatedColumnFormula>IF(L2&lt;&gt;"",L2-K2,"NA")</calculatedColumnFormula>
    </tableColumn>
    <tableColumn id="17" xr3:uid="{376BF829-04C8-4E6C-A3F5-3E33A8B0F5B6}" name="Customer Name">
      <calculatedColumnFormula>IFERROR(_xlfn.XLOOKUP(B2,'Customer Master'!$A$2:$A$50,'Customer Master'!$B$2:$B$50),"NOT FOUND")</calculatedColumnFormula>
    </tableColumn>
    <tableColumn id="18" xr3:uid="{A628A8AB-6B1F-4BB6-A744-F6474DBDB481}" name="Delivery Performance">
      <calculatedColumnFormula array="1">_xlfn.IFS(P2="NA","NA",P2&lt;=2,"Fast",P2&gt;2,"Slow")</calculatedColumnFormula>
    </tableColumn>
    <tableColumn id="19" xr3:uid="{A9CDE454-7B0D-4604-8C0B-F016FD736B6B}" name="PRODUCT NAME">
      <calculatedColumnFormula>_xlfn.XLOOKUP(C2,'Product Master'!$A$2:$A$23,'Product Master'!$B$2:$B$23)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8" Type="http://schemas.openxmlformats.org/officeDocument/2006/relationships/pivotTable" Target="../pivotTables/pivotTable24.xml"/><Relationship Id="rId13" Type="http://schemas.microsoft.com/office/2007/relationships/slicer" Target="../slicers/slicer1.xml"/><Relationship Id="rId3" Type="http://schemas.openxmlformats.org/officeDocument/2006/relationships/pivotTable" Target="../pivotTables/pivotTable19.xml"/><Relationship Id="rId7" Type="http://schemas.openxmlformats.org/officeDocument/2006/relationships/pivotTable" Target="../pivotTables/pivotTable23.xml"/><Relationship Id="rId12" Type="http://schemas.openxmlformats.org/officeDocument/2006/relationships/drawing" Target="../drawings/drawing6.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openxmlformats.org/officeDocument/2006/relationships/pivotTable" Target="../pivotTables/pivotTable27.xml"/><Relationship Id="rId5" Type="http://schemas.openxmlformats.org/officeDocument/2006/relationships/pivotTable" Target="../pivotTables/pivotTable21.xml"/><Relationship Id="rId10" Type="http://schemas.openxmlformats.org/officeDocument/2006/relationships/pivotTable" Target="../pivotTables/pivotTable26.xml"/><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70153-D943-4572-B81C-6E6A4299CA8F}">
  <dimension ref="A2:I10"/>
  <sheetViews>
    <sheetView workbookViewId="0">
      <selection activeCell="X34" sqref="X34"/>
    </sheetView>
  </sheetViews>
  <sheetFormatPr defaultRowHeight="14.4" x14ac:dyDescent="0.3"/>
  <cols>
    <col min="1" max="1" width="19.21875" bestFit="1" customWidth="1"/>
    <col min="2" max="2" width="15.5546875" bestFit="1" customWidth="1"/>
    <col min="3" max="3" width="10" bestFit="1" customWidth="1"/>
    <col min="4" max="4" width="7.44140625" bestFit="1" customWidth="1"/>
    <col min="5" max="5" width="6" bestFit="1" customWidth="1"/>
    <col min="6" max="6" width="5" bestFit="1" customWidth="1"/>
    <col min="7" max="7" width="10.77734375" bestFit="1" customWidth="1"/>
  </cols>
  <sheetData>
    <row r="2" spans="1:9" x14ac:dyDescent="0.3">
      <c r="I2" t="s">
        <v>329</v>
      </c>
    </row>
    <row r="3" spans="1:9" x14ac:dyDescent="0.3">
      <c r="A3" s="9" t="s">
        <v>313</v>
      </c>
      <c r="B3" s="9" t="s">
        <v>321</v>
      </c>
    </row>
    <row r="4" spans="1:9" x14ac:dyDescent="0.3">
      <c r="A4" s="9" t="s">
        <v>311</v>
      </c>
      <c r="B4" t="s">
        <v>218</v>
      </c>
      <c r="C4" t="s">
        <v>200</v>
      </c>
      <c r="D4" t="s">
        <v>211</v>
      </c>
      <c r="E4" t="s">
        <v>206</v>
      </c>
      <c r="F4" t="s">
        <v>203</v>
      </c>
      <c r="G4" t="s">
        <v>312</v>
      </c>
    </row>
    <row r="5" spans="1:9" x14ac:dyDescent="0.3">
      <c r="A5" s="10" t="s">
        <v>30</v>
      </c>
      <c r="B5">
        <v>84</v>
      </c>
      <c r="C5">
        <v>2662</v>
      </c>
      <c r="D5">
        <v>210</v>
      </c>
      <c r="E5">
        <v>2063</v>
      </c>
      <c r="F5">
        <v>437</v>
      </c>
      <c r="G5">
        <v>5456</v>
      </c>
    </row>
    <row r="6" spans="1:9" x14ac:dyDescent="0.3">
      <c r="A6" s="10" t="s">
        <v>17</v>
      </c>
      <c r="B6">
        <v>394</v>
      </c>
      <c r="C6">
        <v>365</v>
      </c>
      <c r="D6">
        <v>711</v>
      </c>
      <c r="E6">
        <v>741</v>
      </c>
      <c r="F6">
        <v>1424</v>
      </c>
      <c r="G6">
        <v>3635</v>
      </c>
    </row>
    <row r="7" spans="1:9" x14ac:dyDescent="0.3">
      <c r="A7" s="10" t="s">
        <v>12</v>
      </c>
      <c r="B7">
        <v>464</v>
      </c>
      <c r="C7">
        <v>6522</v>
      </c>
      <c r="D7">
        <v>788</v>
      </c>
      <c r="E7">
        <v>2131</v>
      </c>
      <c r="F7">
        <v>586</v>
      </c>
      <c r="G7">
        <v>10491</v>
      </c>
    </row>
    <row r="8" spans="1:9" x14ac:dyDescent="0.3">
      <c r="A8" s="10" t="s">
        <v>21</v>
      </c>
      <c r="B8">
        <v>423</v>
      </c>
      <c r="C8">
        <v>3938</v>
      </c>
      <c r="D8">
        <v>1032</v>
      </c>
      <c r="E8">
        <v>1881</v>
      </c>
      <c r="F8">
        <v>43</v>
      </c>
      <c r="G8">
        <v>7317</v>
      </c>
    </row>
    <row r="9" spans="1:9" x14ac:dyDescent="0.3">
      <c r="A9" s="10" t="s">
        <v>33</v>
      </c>
      <c r="B9">
        <v>350</v>
      </c>
      <c r="C9">
        <v>1722</v>
      </c>
      <c r="D9">
        <v>1131</v>
      </c>
      <c r="E9">
        <v>4135</v>
      </c>
      <c r="F9">
        <v>1021</v>
      </c>
      <c r="G9">
        <v>8359</v>
      </c>
    </row>
    <row r="10" spans="1:9" x14ac:dyDescent="0.3">
      <c r="A10" s="10" t="s">
        <v>312</v>
      </c>
      <c r="B10">
        <v>1715</v>
      </c>
      <c r="C10">
        <v>15209</v>
      </c>
      <c r="D10">
        <v>3872</v>
      </c>
      <c r="E10">
        <v>10951</v>
      </c>
      <c r="F10">
        <v>3511</v>
      </c>
      <c r="G10">
        <v>35258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6665-C716-48F0-855F-9BD52FC1E5E4}">
  <dimension ref="A3:D7"/>
  <sheetViews>
    <sheetView workbookViewId="0">
      <selection activeCell="F24" sqref="F24"/>
    </sheetView>
  </sheetViews>
  <sheetFormatPr defaultRowHeight="14.4" x14ac:dyDescent="0.3"/>
  <cols>
    <col min="1" max="1" width="12.5546875" bestFit="1" customWidth="1"/>
    <col min="2" max="2" width="15.88671875" bestFit="1" customWidth="1"/>
  </cols>
  <sheetData>
    <row r="3" spans="1:4" x14ac:dyDescent="0.3">
      <c r="A3" s="9" t="s">
        <v>311</v>
      </c>
      <c r="B3" t="s">
        <v>319</v>
      </c>
      <c r="D3" t="s">
        <v>328</v>
      </c>
    </row>
    <row r="4" spans="1:4" x14ac:dyDescent="0.3">
      <c r="A4" s="10" t="s">
        <v>14</v>
      </c>
      <c r="B4">
        <v>30</v>
      </c>
    </row>
    <row r="5" spans="1:4" x14ac:dyDescent="0.3">
      <c r="A5" s="10" t="s">
        <v>19</v>
      </c>
      <c r="B5">
        <v>34</v>
      </c>
    </row>
    <row r="6" spans="1:4" x14ac:dyDescent="0.3">
      <c r="A6" s="10" t="s">
        <v>22</v>
      </c>
      <c r="B6">
        <v>36</v>
      </c>
    </row>
    <row r="7" spans="1:4" x14ac:dyDescent="0.3">
      <c r="A7" s="10" t="s">
        <v>312</v>
      </c>
      <c r="B7">
        <v>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C2CD-EF36-4E2E-A049-C47377CB0709}">
  <dimension ref="A1:D10"/>
  <sheetViews>
    <sheetView workbookViewId="0">
      <selection activeCell="G24" sqref="G24"/>
    </sheetView>
  </sheetViews>
  <sheetFormatPr defaultRowHeight="14.4" x14ac:dyDescent="0.3"/>
  <cols>
    <col min="1" max="1" width="15.21875" bestFit="1" customWidth="1"/>
    <col min="2" max="2" width="30.21875" bestFit="1" customWidth="1"/>
  </cols>
  <sheetData>
    <row r="1" spans="1:4" x14ac:dyDescent="0.3">
      <c r="A1" s="9" t="s">
        <v>315</v>
      </c>
      <c r="B1" t="s">
        <v>318</v>
      </c>
    </row>
    <row r="2" spans="1:4" x14ac:dyDescent="0.3">
      <c r="A2" s="9" t="s">
        <v>5</v>
      </c>
      <c r="B2" t="s">
        <v>318</v>
      </c>
      <c r="D2" t="s">
        <v>330</v>
      </c>
    </row>
    <row r="4" spans="1:4" x14ac:dyDescent="0.3">
      <c r="A4" s="9" t="s">
        <v>311</v>
      </c>
      <c r="B4" t="s">
        <v>317</v>
      </c>
    </row>
    <row r="5" spans="1:4" x14ac:dyDescent="0.3">
      <c r="A5" s="10" t="s">
        <v>30</v>
      </c>
      <c r="B5" s="13">
        <v>4.2</v>
      </c>
    </row>
    <row r="6" spans="1:4" x14ac:dyDescent="0.3">
      <c r="A6" s="10" t="s">
        <v>17</v>
      </c>
      <c r="B6" s="13">
        <v>4.25</v>
      </c>
    </row>
    <row r="7" spans="1:4" x14ac:dyDescent="0.3">
      <c r="A7" s="10" t="s">
        <v>12</v>
      </c>
      <c r="B7" s="13">
        <v>3.625</v>
      </c>
    </row>
    <row r="8" spans="1:4" x14ac:dyDescent="0.3">
      <c r="A8" s="10" t="s">
        <v>21</v>
      </c>
      <c r="B8" s="13">
        <v>3.3333333333333335</v>
      </c>
    </row>
    <row r="9" spans="1:4" x14ac:dyDescent="0.3">
      <c r="A9" s="10" t="s">
        <v>33</v>
      </c>
      <c r="B9" s="13">
        <v>3.4285714285714284</v>
      </c>
    </row>
    <row r="10" spans="1:4" x14ac:dyDescent="0.3">
      <c r="A10" s="10" t="s">
        <v>312</v>
      </c>
      <c r="B10" s="17">
        <v>3.7647058823529411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56285-6181-4D08-A7EC-098B36F7570B}">
  <dimension ref="A1:E4"/>
  <sheetViews>
    <sheetView workbookViewId="0">
      <selection activeCell="C30" sqref="C30"/>
    </sheetView>
  </sheetViews>
  <sheetFormatPr defaultRowHeight="14.4" x14ac:dyDescent="0.3"/>
  <cols>
    <col min="1" max="1" width="19.21875" bestFit="1" customWidth="1"/>
    <col min="2" max="2" width="6.33203125" bestFit="1" customWidth="1"/>
  </cols>
  <sheetData>
    <row r="1" spans="1:5" x14ac:dyDescent="0.3">
      <c r="A1" s="9" t="s">
        <v>6</v>
      </c>
      <c r="B1" t="s">
        <v>318</v>
      </c>
    </row>
    <row r="2" spans="1:5" x14ac:dyDescent="0.3">
      <c r="D2" t="s">
        <v>335</v>
      </c>
      <c r="E2" s="14" t="s">
        <v>334</v>
      </c>
    </row>
    <row r="3" spans="1:5" x14ac:dyDescent="0.3">
      <c r="A3" t="s">
        <v>313</v>
      </c>
      <c r="E3" s="14"/>
    </row>
    <row r="4" spans="1:5" x14ac:dyDescent="0.3">
      <c r="A4">
        <v>35258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A0EA-5B40-49A8-87B8-072CB5D07E7B}">
  <dimension ref="A3:A4"/>
  <sheetViews>
    <sheetView topLeftCell="A2" workbookViewId="0">
      <selection activeCell="F22" sqref="F22"/>
    </sheetView>
  </sheetViews>
  <sheetFormatPr defaultRowHeight="14.4" x14ac:dyDescent="0.3"/>
  <cols>
    <col min="1" max="1" width="19.21875" bestFit="1" customWidth="1"/>
  </cols>
  <sheetData>
    <row r="3" spans="1:1" x14ac:dyDescent="0.3">
      <c r="A3" t="s">
        <v>313</v>
      </c>
    </row>
    <row r="4" spans="1:1" x14ac:dyDescent="0.3">
      <c r="A4">
        <v>35258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FAFA-2EC7-48C6-B172-6846532070B1}">
  <dimension ref="A2:H5"/>
  <sheetViews>
    <sheetView workbookViewId="0">
      <selection activeCell="I27" sqref="I27"/>
    </sheetView>
  </sheetViews>
  <sheetFormatPr defaultRowHeight="14.4" x14ac:dyDescent="0.3"/>
  <cols>
    <col min="1" max="1" width="15.88671875" bestFit="1" customWidth="1"/>
    <col min="2" max="2" width="15.5546875" bestFit="1" customWidth="1"/>
    <col min="3" max="3" width="3.5546875" bestFit="1" customWidth="1"/>
    <col min="4" max="4" width="5" bestFit="1" customWidth="1"/>
    <col min="5" max="5" width="10.77734375" bestFit="1" customWidth="1"/>
  </cols>
  <sheetData>
    <row r="2" spans="1:8" x14ac:dyDescent="0.3">
      <c r="H2" t="s">
        <v>339</v>
      </c>
    </row>
    <row r="3" spans="1:8" x14ac:dyDescent="0.3">
      <c r="B3" s="9" t="s">
        <v>321</v>
      </c>
      <c r="F3" t="s">
        <v>337</v>
      </c>
      <c r="H3" t="s">
        <v>338</v>
      </c>
    </row>
    <row r="4" spans="1:8" x14ac:dyDescent="0.3">
      <c r="B4" t="s">
        <v>323</v>
      </c>
      <c r="C4" t="s">
        <v>324</v>
      </c>
      <c r="D4" t="s">
        <v>325</v>
      </c>
      <c r="E4" t="s">
        <v>312</v>
      </c>
    </row>
    <row r="5" spans="1:8" x14ac:dyDescent="0.3">
      <c r="A5" t="s">
        <v>319</v>
      </c>
      <c r="B5">
        <v>11</v>
      </c>
      <c r="C5">
        <v>66</v>
      </c>
      <c r="D5">
        <v>23</v>
      </c>
      <c r="E5">
        <v>100</v>
      </c>
      <c r="F5" s="15">
        <f>B5/(B5+D5)</f>
        <v>0.3235294117647059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4FE4-12F6-4A3B-AC16-27163248EC33}">
  <dimension ref="A2:E7"/>
  <sheetViews>
    <sheetView workbookViewId="0">
      <selection activeCell="B27" sqref="B27"/>
    </sheetView>
  </sheetViews>
  <sheetFormatPr defaultRowHeight="14.4" x14ac:dyDescent="0.3"/>
  <cols>
    <col min="1" max="1" width="12.5546875" bestFit="1" customWidth="1"/>
    <col min="2" max="2" width="19.21875" bestFit="1" customWidth="1"/>
  </cols>
  <sheetData>
    <row r="2" spans="1:5" x14ac:dyDescent="0.3">
      <c r="E2" t="s">
        <v>340</v>
      </c>
    </row>
    <row r="3" spans="1:5" x14ac:dyDescent="0.3">
      <c r="A3" s="9" t="s">
        <v>311</v>
      </c>
      <c r="B3" t="s">
        <v>313</v>
      </c>
    </row>
    <row r="4" spans="1:5" x14ac:dyDescent="0.3">
      <c r="A4" s="10" t="s">
        <v>12</v>
      </c>
      <c r="B4">
        <v>10491</v>
      </c>
    </row>
    <row r="5" spans="1:5" x14ac:dyDescent="0.3">
      <c r="A5" s="10" t="s">
        <v>33</v>
      </c>
      <c r="B5">
        <v>8359</v>
      </c>
    </row>
    <row r="6" spans="1:5" x14ac:dyDescent="0.3">
      <c r="A6" s="10" t="s">
        <v>21</v>
      </c>
      <c r="B6">
        <v>7317</v>
      </c>
    </row>
    <row r="7" spans="1:5" x14ac:dyDescent="0.3">
      <c r="A7" s="10" t="s">
        <v>312</v>
      </c>
      <c r="B7">
        <v>26167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828A8-B879-450D-85A9-805EECC0263D}">
  <dimension ref="A2:D6"/>
  <sheetViews>
    <sheetView workbookViewId="0">
      <selection activeCell="J26" sqref="J26"/>
    </sheetView>
  </sheetViews>
  <sheetFormatPr defaultRowHeight="14.4" x14ac:dyDescent="0.3"/>
  <cols>
    <col min="1" max="1" width="12.5546875" bestFit="1" customWidth="1"/>
    <col min="2" max="2" width="20.5546875" bestFit="1" customWidth="1"/>
  </cols>
  <sheetData>
    <row r="2" spans="1:4" x14ac:dyDescent="0.3">
      <c r="D2" t="s">
        <v>341</v>
      </c>
    </row>
    <row r="3" spans="1:4" x14ac:dyDescent="0.3">
      <c r="A3" s="9" t="s">
        <v>311</v>
      </c>
      <c r="B3" t="s">
        <v>327</v>
      </c>
      <c r="D3" t="s">
        <v>342</v>
      </c>
    </row>
    <row r="4" spans="1:4" x14ac:dyDescent="0.3">
      <c r="A4" s="10" t="s">
        <v>208</v>
      </c>
      <c r="B4">
        <v>8</v>
      </c>
    </row>
    <row r="5" spans="1:4" x14ac:dyDescent="0.3">
      <c r="A5" s="10" t="s">
        <v>210</v>
      </c>
      <c r="B5">
        <v>8</v>
      </c>
    </row>
    <row r="6" spans="1:4" x14ac:dyDescent="0.3">
      <c r="A6" s="10" t="s">
        <v>312</v>
      </c>
      <c r="B6">
        <v>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7D94-23A7-429D-991D-4D7F012370C7}">
  <dimension ref="A2:D5"/>
  <sheetViews>
    <sheetView workbookViewId="0">
      <selection activeCell="H28" sqref="H28"/>
    </sheetView>
  </sheetViews>
  <sheetFormatPr defaultRowHeight="14.4" x14ac:dyDescent="0.3"/>
  <cols>
    <col min="1" max="1" width="12.5546875" bestFit="1" customWidth="1"/>
    <col min="2" max="2" width="19.21875" bestFit="1" customWidth="1"/>
  </cols>
  <sheetData>
    <row r="2" spans="1:4" x14ac:dyDescent="0.3">
      <c r="D2" t="s">
        <v>343</v>
      </c>
    </row>
    <row r="3" spans="1:4" x14ac:dyDescent="0.3">
      <c r="A3" s="9" t="s">
        <v>311</v>
      </c>
      <c r="B3" t="s">
        <v>313</v>
      </c>
      <c r="D3" t="s">
        <v>344</v>
      </c>
    </row>
    <row r="4" spans="1:4" x14ac:dyDescent="0.3">
      <c r="A4" s="10" t="s">
        <v>199</v>
      </c>
      <c r="B4">
        <v>9644</v>
      </c>
    </row>
    <row r="5" spans="1:4" x14ac:dyDescent="0.3">
      <c r="A5" s="10" t="s">
        <v>312</v>
      </c>
      <c r="B5">
        <v>9644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2FA78-8D02-460E-9599-0F18B7DDC883}">
  <dimension ref="A3:B16"/>
  <sheetViews>
    <sheetView workbookViewId="0">
      <selection activeCell="E27" sqref="E27"/>
    </sheetView>
  </sheetViews>
  <sheetFormatPr defaultRowHeight="14.4" x14ac:dyDescent="0.3"/>
  <cols>
    <col min="1" max="1" width="12.5546875" bestFit="1" customWidth="1"/>
    <col min="2" max="2" width="19.21875" bestFit="1" customWidth="1"/>
  </cols>
  <sheetData>
    <row r="3" spans="1:2" x14ac:dyDescent="0.3">
      <c r="A3" s="9" t="s">
        <v>311</v>
      </c>
      <c r="B3" t="s">
        <v>313</v>
      </c>
    </row>
    <row r="4" spans="1:2" x14ac:dyDescent="0.3">
      <c r="A4" s="10" t="s">
        <v>345</v>
      </c>
      <c r="B4">
        <v>1099</v>
      </c>
    </row>
    <row r="5" spans="1:2" x14ac:dyDescent="0.3">
      <c r="A5" s="10" t="s">
        <v>346</v>
      </c>
      <c r="B5">
        <v>3712</v>
      </c>
    </row>
    <row r="6" spans="1:2" x14ac:dyDescent="0.3">
      <c r="A6" s="10" t="s">
        <v>347</v>
      </c>
      <c r="B6">
        <v>905</v>
      </c>
    </row>
    <row r="7" spans="1:2" x14ac:dyDescent="0.3">
      <c r="A7" s="10" t="s">
        <v>348</v>
      </c>
      <c r="B7">
        <v>2637</v>
      </c>
    </row>
    <row r="8" spans="1:2" x14ac:dyDescent="0.3">
      <c r="A8" s="10" t="s">
        <v>349</v>
      </c>
      <c r="B8">
        <v>4940</v>
      </c>
    </row>
    <row r="9" spans="1:2" x14ac:dyDescent="0.3">
      <c r="A9" s="10" t="s">
        <v>350</v>
      </c>
      <c r="B9">
        <v>2599</v>
      </c>
    </row>
    <row r="10" spans="1:2" x14ac:dyDescent="0.3">
      <c r="A10" s="10" t="s">
        <v>351</v>
      </c>
      <c r="B10">
        <v>3315</v>
      </c>
    </row>
    <row r="11" spans="1:2" x14ac:dyDescent="0.3">
      <c r="A11" s="10" t="s">
        <v>352</v>
      </c>
      <c r="B11">
        <v>782</v>
      </c>
    </row>
    <row r="12" spans="1:2" x14ac:dyDescent="0.3">
      <c r="A12" s="10" t="s">
        <v>353</v>
      </c>
      <c r="B12">
        <v>1570</v>
      </c>
    </row>
    <row r="13" spans="1:2" x14ac:dyDescent="0.3">
      <c r="A13" s="10" t="s">
        <v>354</v>
      </c>
      <c r="B13">
        <v>2920</v>
      </c>
    </row>
    <row r="14" spans="1:2" x14ac:dyDescent="0.3">
      <c r="A14" s="10" t="s">
        <v>355</v>
      </c>
      <c r="B14">
        <v>6312</v>
      </c>
    </row>
    <row r="15" spans="1:2" x14ac:dyDescent="0.3">
      <c r="A15" s="10" t="s">
        <v>356</v>
      </c>
      <c r="B15">
        <v>4467</v>
      </c>
    </row>
    <row r="16" spans="1:2" x14ac:dyDescent="0.3">
      <c r="A16" s="10" t="s">
        <v>312</v>
      </c>
      <c r="B16">
        <v>35258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A41A-652D-4F4D-9058-85CDF27A96D6}">
  <dimension ref="A3:G17"/>
  <sheetViews>
    <sheetView workbookViewId="0">
      <selection activeCell="B32" sqref="B32"/>
    </sheetView>
  </sheetViews>
  <sheetFormatPr defaultRowHeight="14.4" x14ac:dyDescent="0.3"/>
  <cols>
    <col min="1" max="1" width="12.5546875" bestFit="1" customWidth="1"/>
    <col min="2" max="2" width="19.21875" bestFit="1" customWidth="1"/>
  </cols>
  <sheetData>
    <row r="3" spans="1:7" x14ac:dyDescent="0.3">
      <c r="A3" s="9" t="s">
        <v>311</v>
      </c>
      <c r="B3" t="s">
        <v>313</v>
      </c>
      <c r="C3" t="s">
        <v>358</v>
      </c>
      <c r="D3" t="s">
        <v>357</v>
      </c>
      <c r="G3" t="s">
        <v>359</v>
      </c>
    </row>
    <row r="4" spans="1:7" x14ac:dyDescent="0.3">
      <c r="A4" s="10" t="s">
        <v>12</v>
      </c>
      <c r="B4">
        <v>10491</v>
      </c>
      <c r="C4" t="e">
        <f>IF(B4&lt;6000,B4,NA())</f>
        <v>#N/A</v>
      </c>
      <c r="D4">
        <f>IF(B4&gt;=6000,B4,NA())</f>
        <v>10491</v>
      </c>
    </row>
    <row r="5" spans="1:7" x14ac:dyDescent="0.3">
      <c r="A5" s="10" t="s">
        <v>33</v>
      </c>
      <c r="B5">
        <v>8359</v>
      </c>
      <c r="C5" t="e">
        <f>IF(B5&lt;6000,B5,NA())</f>
        <v>#N/A</v>
      </c>
      <c r="D5">
        <f t="shared" ref="D5:D8" si="0">IF(B5&gt;=6000,B5,NA())</f>
        <v>8359</v>
      </c>
    </row>
    <row r="6" spans="1:7" x14ac:dyDescent="0.3">
      <c r="A6" s="10" t="s">
        <v>21</v>
      </c>
      <c r="B6">
        <v>7317</v>
      </c>
      <c r="C6" t="e">
        <f t="shared" ref="C6:C8" si="1">IF(B6&lt;6000,B6,NA())</f>
        <v>#N/A</v>
      </c>
      <c r="D6">
        <f t="shared" si="0"/>
        <v>7317</v>
      </c>
    </row>
    <row r="7" spans="1:7" x14ac:dyDescent="0.3">
      <c r="A7" s="10" t="s">
        <v>30</v>
      </c>
      <c r="B7">
        <v>5456</v>
      </c>
      <c r="C7">
        <f t="shared" si="1"/>
        <v>5456</v>
      </c>
      <c r="D7" t="e">
        <f t="shared" si="0"/>
        <v>#N/A</v>
      </c>
    </row>
    <row r="8" spans="1:7" x14ac:dyDescent="0.3">
      <c r="A8" s="10" t="s">
        <v>17</v>
      </c>
      <c r="B8">
        <v>3635</v>
      </c>
      <c r="C8">
        <f t="shared" si="1"/>
        <v>3635</v>
      </c>
      <c r="D8" t="e">
        <f t="shared" si="0"/>
        <v>#N/A</v>
      </c>
    </row>
    <row r="9" spans="1:7" x14ac:dyDescent="0.3">
      <c r="A9" s="10" t="s">
        <v>312</v>
      </c>
      <c r="B9">
        <v>35258</v>
      </c>
    </row>
    <row r="13" spans="1:7" x14ac:dyDescent="0.3">
      <c r="A13" s="10" t="s">
        <v>12</v>
      </c>
      <c r="B13">
        <v>10491</v>
      </c>
    </row>
    <row r="14" spans="1:7" x14ac:dyDescent="0.3">
      <c r="A14" s="10" t="s">
        <v>33</v>
      </c>
      <c r="B14">
        <v>8359</v>
      </c>
    </row>
    <row r="15" spans="1:7" x14ac:dyDescent="0.3">
      <c r="A15" s="10" t="s">
        <v>21</v>
      </c>
      <c r="B15">
        <v>7317</v>
      </c>
    </row>
    <row r="16" spans="1:7" x14ac:dyDescent="0.3">
      <c r="A16" s="10" t="s">
        <v>30</v>
      </c>
      <c r="B16">
        <v>5456</v>
      </c>
    </row>
    <row r="17" spans="1:2" x14ac:dyDescent="0.3">
      <c r="A17" s="10" t="s">
        <v>17</v>
      </c>
      <c r="B17">
        <v>3635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3E2AA-9390-4948-BFC2-46A9D5BA4776}">
  <dimension ref="A1:F10"/>
  <sheetViews>
    <sheetView workbookViewId="0">
      <selection activeCell="F17" sqref="F17"/>
    </sheetView>
  </sheetViews>
  <sheetFormatPr defaultRowHeight="14.4" x14ac:dyDescent="0.3"/>
  <cols>
    <col min="1" max="1" width="15.88671875" bestFit="1" customWidth="1"/>
    <col min="2" max="2" width="15.5546875" bestFit="1" customWidth="1"/>
    <col min="3" max="3" width="4" bestFit="1" customWidth="1"/>
    <col min="4" max="4" width="10.77734375" bestFit="1" customWidth="1"/>
  </cols>
  <sheetData>
    <row r="1" spans="1:6" x14ac:dyDescent="0.3">
      <c r="A1" s="18" t="s">
        <v>332</v>
      </c>
    </row>
    <row r="2" spans="1:6" x14ac:dyDescent="0.3">
      <c r="F2" t="s">
        <v>336</v>
      </c>
    </row>
    <row r="3" spans="1:6" x14ac:dyDescent="0.3">
      <c r="A3" s="9" t="s">
        <v>319</v>
      </c>
      <c r="B3" s="9" t="s">
        <v>321</v>
      </c>
    </row>
    <row r="4" spans="1:6" x14ac:dyDescent="0.3">
      <c r="A4" s="9" t="s">
        <v>311</v>
      </c>
      <c r="B4" t="s">
        <v>322</v>
      </c>
      <c r="C4" t="s">
        <v>331</v>
      </c>
      <c r="D4" t="s">
        <v>312</v>
      </c>
      <c r="E4" t="s">
        <v>333</v>
      </c>
    </row>
    <row r="5" spans="1:6" x14ac:dyDescent="0.3">
      <c r="A5" s="10" t="s">
        <v>30</v>
      </c>
      <c r="B5">
        <v>9</v>
      </c>
      <c r="C5">
        <v>5</v>
      </c>
      <c r="D5">
        <v>14</v>
      </c>
      <c r="E5" s="15">
        <f>C5/D5</f>
        <v>0.35714285714285715</v>
      </c>
    </row>
    <row r="6" spans="1:6" x14ac:dyDescent="0.3">
      <c r="A6" s="10" t="s">
        <v>17</v>
      </c>
      <c r="B6">
        <v>15</v>
      </c>
      <c r="C6">
        <v>3</v>
      </c>
      <c r="D6">
        <v>18</v>
      </c>
      <c r="E6" s="15">
        <f t="shared" ref="E6:E9" si="0">C6/D6</f>
        <v>0.16666666666666666</v>
      </c>
    </row>
    <row r="7" spans="1:6" x14ac:dyDescent="0.3">
      <c r="A7" s="10" t="s">
        <v>12</v>
      </c>
      <c r="B7">
        <v>15</v>
      </c>
      <c r="C7">
        <v>10</v>
      </c>
      <c r="D7">
        <v>25</v>
      </c>
      <c r="E7" s="15">
        <f t="shared" si="0"/>
        <v>0.4</v>
      </c>
    </row>
    <row r="8" spans="1:6" x14ac:dyDescent="0.3">
      <c r="A8" s="10" t="s">
        <v>21</v>
      </c>
      <c r="B8">
        <v>16</v>
      </c>
      <c r="C8">
        <v>4</v>
      </c>
      <c r="D8">
        <v>20</v>
      </c>
      <c r="E8" s="15">
        <f t="shared" si="0"/>
        <v>0.2</v>
      </c>
    </row>
    <row r="9" spans="1:6" x14ac:dyDescent="0.3">
      <c r="A9" s="10" t="s">
        <v>33</v>
      </c>
      <c r="B9">
        <v>15</v>
      </c>
      <c r="C9">
        <v>8</v>
      </c>
      <c r="D9">
        <v>23</v>
      </c>
      <c r="E9" s="15">
        <f t="shared" si="0"/>
        <v>0.34782608695652173</v>
      </c>
    </row>
    <row r="10" spans="1:6" x14ac:dyDescent="0.3">
      <c r="A10" s="10" t="s">
        <v>312</v>
      </c>
      <c r="B10">
        <v>70</v>
      </c>
      <c r="C10">
        <v>30</v>
      </c>
      <c r="D10">
        <v>100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D5A42-C204-499D-9D32-4B989493031A}">
  <dimension ref="A1:G64"/>
  <sheetViews>
    <sheetView zoomScale="98" zoomScaleNormal="98" workbookViewId="0">
      <selection activeCell="T13" sqref="T13"/>
    </sheetView>
  </sheetViews>
  <sheetFormatPr defaultRowHeight="14.4" x14ac:dyDescent="0.3"/>
  <cols>
    <col min="1" max="1" width="15.88671875" bestFit="1" customWidth="1"/>
    <col min="2" max="2" width="15.5546875" bestFit="1" customWidth="1"/>
    <col min="3" max="3" width="4" bestFit="1" customWidth="1"/>
    <col min="4" max="4" width="10.77734375" bestFit="1" customWidth="1"/>
    <col min="12" max="12" width="5.6640625" customWidth="1"/>
  </cols>
  <sheetData>
    <row r="1" spans="1:5" x14ac:dyDescent="0.3">
      <c r="B1" s="18" t="s">
        <v>393</v>
      </c>
      <c r="C1" s="18"/>
    </row>
    <row r="2" spans="1:5" x14ac:dyDescent="0.3">
      <c r="D2" t="s">
        <v>392</v>
      </c>
    </row>
    <row r="3" spans="1:5" x14ac:dyDescent="0.3">
      <c r="A3" s="9" t="s">
        <v>311</v>
      </c>
      <c r="B3" t="s">
        <v>313</v>
      </c>
      <c r="D3" s="23"/>
    </row>
    <row r="4" spans="1:5" x14ac:dyDescent="0.3">
      <c r="A4" s="28" t="s">
        <v>200</v>
      </c>
      <c r="B4">
        <v>15209</v>
      </c>
    </row>
    <row r="5" spans="1:5" x14ac:dyDescent="0.3">
      <c r="A5" s="27" t="s">
        <v>199</v>
      </c>
      <c r="B5" s="26">
        <v>9644</v>
      </c>
      <c r="C5" t="s">
        <v>396</v>
      </c>
      <c r="D5" t="s">
        <v>395</v>
      </c>
    </row>
    <row r="6" spans="1:5" x14ac:dyDescent="0.3">
      <c r="A6" s="22" t="s">
        <v>230</v>
      </c>
      <c r="B6">
        <v>2230</v>
      </c>
    </row>
    <row r="7" spans="1:5" x14ac:dyDescent="0.3">
      <c r="A7" s="22" t="s">
        <v>236</v>
      </c>
      <c r="B7">
        <v>1392</v>
      </c>
    </row>
    <row r="8" spans="1:5" x14ac:dyDescent="0.3">
      <c r="A8" s="22" t="s">
        <v>224</v>
      </c>
      <c r="B8">
        <v>1212</v>
      </c>
    </row>
    <row r="9" spans="1:5" x14ac:dyDescent="0.3">
      <c r="A9" s="22" t="s">
        <v>242</v>
      </c>
      <c r="B9">
        <v>731</v>
      </c>
    </row>
    <row r="10" spans="1:5" x14ac:dyDescent="0.3">
      <c r="A10" s="10" t="s">
        <v>312</v>
      </c>
      <c r="B10">
        <v>15209</v>
      </c>
    </row>
    <row r="14" spans="1:5" x14ac:dyDescent="0.3">
      <c r="A14" s="9" t="s">
        <v>319</v>
      </c>
      <c r="B14" s="9" t="s">
        <v>321</v>
      </c>
    </row>
    <row r="15" spans="1:5" x14ac:dyDescent="0.3">
      <c r="A15" s="9" t="s">
        <v>311</v>
      </c>
      <c r="B15" t="s">
        <v>322</v>
      </c>
      <c r="C15" t="s">
        <v>331</v>
      </c>
      <c r="D15" t="s">
        <v>312</v>
      </c>
      <c r="E15" t="s">
        <v>333</v>
      </c>
    </row>
    <row r="16" spans="1:5" x14ac:dyDescent="0.3">
      <c r="A16" s="10" t="s">
        <v>30</v>
      </c>
      <c r="B16">
        <v>9</v>
      </c>
      <c r="C16">
        <v>5</v>
      </c>
      <c r="D16">
        <v>14</v>
      </c>
      <c r="E16" s="15">
        <f>C16/D16</f>
        <v>0.35714285714285715</v>
      </c>
    </row>
    <row r="17" spans="1:5" x14ac:dyDescent="0.3">
      <c r="A17" s="10" t="s">
        <v>17</v>
      </c>
      <c r="B17">
        <v>15</v>
      </c>
      <c r="C17">
        <v>3</v>
      </c>
      <c r="D17">
        <v>18</v>
      </c>
      <c r="E17" s="15">
        <f t="shared" ref="E17:E20" si="0">C17/D17</f>
        <v>0.16666666666666666</v>
      </c>
    </row>
    <row r="18" spans="1:5" x14ac:dyDescent="0.3">
      <c r="A18" s="10" t="s">
        <v>12</v>
      </c>
      <c r="B18">
        <v>15</v>
      </c>
      <c r="C18">
        <v>10</v>
      </c>
      <c r="D18">
        <v>25</v>
      </c>
      <c r="E18" s="25">
        <f t="shared" si="0"/>
        <v>0.4</v>
      </c>
    </row>
    <row r="19" spans="1:5" x14ac:dyDescent="0.3">
      <c r="A19" s="10" t="s">
        <v>21</v>
      </c>
      <c r="B19">
        <v>16</v>
      </c>
      <c r="C19">
        <v>4</v>
      </c>
      <c r="D19">
        <v>20</v>
      </c>
      <c r="E19" s="15">
        <f t="shared" si="0"/>
        <v>0.2</v>
      </c>
    </row>
    <row r="20" spans="1:5" x14ac:dyDescent="0.3">
      <c r="A20" s="10" t="s">
        <v>33</v>
      </c>
      <c r="B20">
        <v>15</v>
      </c>
      <c r="C20">
        <v>8</v>
      </c>
      <c r="D20">
        <v>23</v>
      </c>
      <c r="E20" s="15">
        <f t="shared" si="0"/>
        <v>0.34782608695652173</v>
      </c>
    </row>
    <row r="21" spans="1:5" x14ac:dyDescent="0.3">
      <c r="A21" s="10" t="s">
        <v>312</v>
      </c>
      <c r="B21">
        <v>70</v>
      </c>
      <c r="C21">
        <v>30</v>
      </c>
      <c r="D21">
        <v>100</v>
      </c>
    </row>
    <row r="23" spans="1:5" x14ac:dyDescent="0.3">
      <c r="A23" s="10" t="s">
        <v>391</v>
      </c>
    </row>
    <row r="25" spans="1:5" x14ac:dyDescent="0.3">
      <c r="A25" s="10" t="s">
        <v>397</v>
      </c>
    </row>
    <row r="27" spans="1:5" x14ac:dyDescent="0.3">
      <c r="A27" s="9" t="s">
        <v>314</v>
      </c>
      <c r="B27" t="s">
        <v>322</v>
      </c>
    </row>
    <row r="29" spans="1:5" x14ac:dyDescent="0.3">
      <c r="A29" s="9" t="s">
        <v>311</v>
      </c>
      <c r="B29" t="s">
        <v>319</v>
      </c>
    </row>
    <row r="30" spans="1:5" x14ac:dyDescent="0.3">
      <c r="A30" s="10">
        <v>1</v>
      </c>
      <c r="B30">
        <v>1</v>
      </c>
    </row>
    <row r="31" spans="1:5" x14ac:dyDescent="0.3">
      <c r="A31" s="10">
        <v>2</v>
      </c>
      <c r="B31">
        <v>10</v>
      </c>
    </row>
    <row r="32" spans="1:5" x14ac:dyDescent="0.3">
      <c r="A32" s="10" t="s">
        <v>312</v>
      </c>
      <c r="B32" s="29">
        <v>11</v>
      </c>
    </row>
    <row r="33" spans="1:1" x14ac:dyDescent="0.3">
      <c r="A33" t="s">
        <v>390</v>
      </c>
    </row>
    <row r="34" spans="1:1" x14ac:dyDescent="0.3">
      <c r="A34" t="s">
        <v>376</v>
      </c>
    </row>
    <row r="35" spans="1:1" x14ac:dyDescent="0.3">
      <c r="A35" t="s">
        <v>377</v>
      </c>
    </row>
    <row r="36" spans="1:1" x14ac:dyDescent="0.3">
      <c r="A36" t="s">
        <v>378</v>
      </c>
    </row>
    <row r="39" spans="1:1" x14ac:dyDescent="0.3">
      <c r="A39" t="s">
        <v>389</v>
      </c>
    </row>
    <row r="40" spans="1:1" x14ac:dyDescent="0.3">
      <c r="A40" t="s">
        <v>366</v>
      </c>
    </row>
    <row r="41" spans="1:1" x14ac:dyDescent="0.3">
      <c r="A41" t="s">
        <v>367</v>
      </c>
    </row>
    <row r="42" spans="1:1" x14ac:dyDescent="0.3">
      <c r="A42" t="s">
        <v>368</v>
      </c>
    </row>
    <row r="43" spans="1:1" x14ac:dyDescent="0.3">
      <c r="A43" t="s">
        <v>369</v>
      </c>
    </row>
    <row r="44" spans="1:1" x14ac:dyDescent="0.3">
      <c r="A44" t="s">
        <v>370</v>
      </c>
    </row>
    <row r="45" spans="1:1" x14ac:dyDescent="0.3">
      <c r="A45" t="s">
        <v>371</v>
      </c>
    </row>
    <row r="46" spans="1:1" x14ac:dyDescent="0.3">
      <c r="A46" t="s">
        <v>372</v>
      </c>
    </row>
    <row r="47" spans="1:1" x14ac:dyDescent="0.3">
      <c r="A47" t="s">
        <v>373</v>
      </c>
    </row>
    <row r="48" spans="1:1" x14ac:dyDescent="0.3">
      <c r="A48" t="s">
        <v>374</v>
      </c>
    </row>
    <row r="51" spans="1:7" x14ac:dyDescent="0.3">
      <c r="A51" t="s">
        <v>388</v>
      </c>
    </row>
    <row r="53" spans="1:7" x14ac:dyDescent="0.3">
      <c r="A53" t="s">
        <v>375</v>
      </c>
    </row>
    <row r="54" spans="1:7" x14ac:dyDescent="0.3">
      <c r="A54" t="s">
        <v>379</v>
      </c>
    </row>
    <row r="55" spans="1:7" x14ac:dyDescent="0.3">
      <c r="A55" t="s">
        <v>380</v>
      </c>
    </row>
    <row r="56" spans="1:7" x14ac:dyDescent="0.3">
      <c r="A56" t="s">
        <v>381</v>
      </c>
    </row>
    <row r="57" spans="1:7" x14ac:dyDescent="0.3">
      <c r="A57" t="s">
        <v>382</v>
      </c>
    </row>
    <row r="58" spans="1:7" x14ac:dyDescent="0.3">
      <c r="A58" t="s">
        <v>383</v>
      </c>
    </row>
    <row r="59" spans="1:7" ht="12.6" customHeight="1" x14ac:dyDescent="0.3">
      <c r="A59" s="19"/>
    </row>
    <row r="61" spans="1:7" ht="13.8" customHeight="1" x14ac:dyDescent="0.3">
      <c r="A61" t="s">
        <v>384</v>
      </c>
      <c r="G61" s="19"/>
    </row>
    <row r="62" spans="1:7" x14ac:dyDescent="0.3">
      <c r="A62" t="s">
        <v>385</v>
      </c>
    </row>
    <row r="63" spans="1:7" x14ac:dyDescent="0.3">
      <c r="A63" t="s">
        <v>386</v>
      </c>
    </row>
    <row r="64" spans="1:7" x14ac:dyDescent="0.3">
      <c r="A64" t="s">
        <v>387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2A91-976A-4E10-872C-28C9587C5A73}">
  <dimension ref="A1:F6"/>
  <sheetViews>
    <sheetView workbookViewId="0">
      <selection activeCell="H13" sqref="H13"/>
    </sheetView>
  </sheetViews>
  <sheetFormatPr defaultRowHeight="14.4" x14ac:dyDescent="0.3"/>
  <cols>
    <col min="1" max="1" width="12.5546875" bestFit="1" customWidth="1"/>
    <col min="2" max="2" width="15.88671875" bestFit="1" customWidth="1"/>
  </cols>
  <sheetData>
    <row r="1" spans="1:6" x14ac:dyDescent="0.3">
      <c r="A1" s="9" t="s">
        <v>314</v>
      </c>
      <c r="B1" t="s">
        <v>322</v>
      </c>
    </row>
    <row r="3" spans="1:6" x14ac:dyDescent="0.3">
      <c r="A3" s="9" t="s">
        <v>311</v>
      </c>
      <c r="B3" t="s">
        <v>319</v>
      </c>
      <c r="F3" t="s">
        <v>398</v>
      </c>
    </row>
    <row r="4" spans="1:6" x14ac:dyDescent="0.3">
      <c r="A4" s="10">
        <v>1</v>
      </c>
      <c r="B4">
        <v>1</v>
      </c>
    </row>
    <row r="5" spans="1:6" x14ac:dyDescent="0.3">
      <c r="A5" s="10">
        <v>2</v>
      </c>
      <c r="B5">
        <v>10</v>
      </c>
    </row>
    <row r="6" spans="1:6" x14ac:dyDescent="0.3">
      <c r="A6" s="10" t="s">
        <v>312</v>
      </c>
      <c r="B6">
        <v>11</v>
      </c>
      <c r="F6" t="s">
        <v>394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B946-5C2E-45F0-9230-3378927C716B}">
  <dimension ref="A1:S101"/>
  <sheetViews>
    <sheetView topLeftCell="J1" workbookViewId="0">
      <selection activeCell="T4" sqref="T4"/>
    </sheetView>
  </sheetViews>
  <sheetFormatPr defaultRowHeight="14.4" x14ac:dyDescent="0.3"/>
  <cols>
    <col min="1" max="1" width="9.88671875" customWidth="1"/>
    <col min="2" max="2" width="13.21875" customWidth="1"/>
    <col min="3" max="3" width="11.77734375" customWidth="1"/>
    <col min="4" max="4" width="8.6640625" customWidth="1"/>
    <col min="5" max="5" width="15.33203125" customWidth="1"/>
    <col min="6" max="6" width="10.21875" customWidth="1"/>
    <col min="7" max="7" width="14.44140625" customWidth="1"/>
    <col min="8" max="8" width="17.6640625" customWidth="1"/>
    <col min="9" max="9" width="15.33203125" customWidth="1"/>
    <col min="10" max="10" width="18.44140625" customWidth="1"/>
    <col min="11" max="11" width="12" customWidth="1"/>
    <col min="12" max="12" width="14" customWidth="1"/>
    <col min="13" max="13" width="12.77734375" customWidth="1"/>
    <col min="14" max="14" width="9.88671875" customWidth="1"/>
    <col min="15" max="15" width="20.33203125" customWidth="1"/>
    <col min="16" max="16" width="25.88671875" customWidth="1"/>
    <col min="17" max="17" width="16.44140625" customWidth="1"/>
    <col min="18" max="18" width="24.77734375" customWidth="1"/>
    <col min="19" max="19" width="16.88671875" customWidth="1"/>
  </cols>
  <sheetData>
    <row r="1" spans="1:19" x14ac:dyDescent="0.3">
      <c r="A1" s="16" t="s">
        <v>51</v>
      </c>
      <c r="B1" s="1" t="s">
        <v>52</v>
      </c>
      <c r="C1" s="1" t="s">
        <v>0</v>
      </c>
      <c r="D1" s="1" t="s">
        <v>1</v>
      </c>
      <c r="E1" s="1" t="s">
        <v>2</v>
      </c>
      <c r="F1" s="1" t="s">
        <v>3</v>
      </c>
      <c r="G1" s="1" t="s">
        <v>4</v>
      </c>
      <c r="H1" s="1" t="s">
        <v>5</v>
      </c>
      <c r="I1" s="1" t="s">
        <v>6</v>
      </c>
      <c r="J1" s="1" t="s">
        <v>7</v>
      </c>
      <c r="K1" s="2" t="s">
        <v>8</v>
      </c>
      <c r="L1" s="2" t="s">
        <v>9</v>
      </c>
      <c r="M1" s="2" t="s">
        <v>10</v>
      </c>
      <c r="N1" s="3" t="s">
        <v>314</v>
      </c>
      <c r="O1" s="11" t="s">
        <v>315</v>
      </c>
      <c r="P1" s="11" t="s">
        <v>316</v>
      </c>
      <c r="Q1" s="4" t="s">
        <v>249</v>
      </c>
      <c r="R1" s="14" t="s">
        <v>320</v>
      </c>
      <c r="S1" t="s">
        <v>326</v>
      </c>
    </row>
    <row r="2" spans="1:19" x14ac:dyDescent="0.3">
      <c r="A2" s="16" t="s">
        <v>54</v>
      </c>
      <c r="B2" s="1" t="s">
        <v>55</v>
      </c>
      <c r="C2" s="1" t="s">
        <v>11</v>
      </c>
      <c r="D2" s="1" t="s">
        <v>12</v>
      </c>
      <c r="E2" s="1">
        <v>44</v>
      </c>
      <c r="F2" s="1">
        <v>1</v>
      </c>
      <c r="G2" s="1">
        <v>44</v>
      </c>
      <c r="H2" s="1" t="s">
        <v>13</v>
      </c>
      <c r="I2" s="1" t="s">
        <v>14</v>
      </c>
      <c r="J2" s="1" t="s">
        <v>15</v>
      </c>
      <c r="K2" s="2">
        <v>45291</v>
      </c>
      <c r="L2" s="2"/>
      <c r="M2" s="2">
        <v>45293</v>
      </c>
      <c r="N2" t="str">
        <f t="shared" ref="N2:N33" si="0">IF(OR(I2="cancelled",M2&lt;&gt;""),"YES","NO")</f>
        <v>YES</v>
      </c>
      <c r="O2" t="str" cm="1">
        <f t="array" ref="O2">_xlfn.XLOOKUP(C2,'Product Master'!$A$2:A$23,'Product Master'!$C$2:$C$23)</f>
        <v>Home</v>
      </c>
      <c r="P2" t="str">
        <f>IF(L2&lt;&gt;"",L2-K2,"NA")</f>
        <v>NA</v>
      </c>
      <c r="Q2" t="str">
        <f>IFERROR(_xlfn.XLOOKUP(B2,'Customer Master'!$A$2:$A$50,'Customer Master'!$B$2:$B$50),"NOT FOUND")</f>
        <v>Zoe Mitchell</v>
      </c>
      <c r="R2" t="str" cm="1">
        <f t="array" ref="R2">_xlfn.IFS(P2="NA","NA",P2&lt;=2,"Fast",P2&gt;2,"Slow")</f>
        <v>NA</v>
      </c>
      <c r="S2" t="str">
        <f>_xlfn.XLOOKUP(C2,'Product Master'!$A$2:$A$23,'Product Master'!$B$2:$B$23)</f>
        <v>Lamp</v>
      </c>
    </row>
    <row r="3" spans="1:19" x14ac:dyDescent="0.3">
      <c r="A3" s="16" t="s">
        <v>56</v>
      </c>
      <c r="B3" s="1" t="s">
        <v>57</v>
      </c>
      <c r="C3" s="1" t="s">
        <v>16</v>
      </c>
      <c r="D3" s="1" t="s">
        <v>17</v>
      </c>
      <c r="E3" s="1">
        <v>96</v>
      </c>
      <c r="F3" s="1">
        <v>4</v>
      </c>
      <c r="G3" s="1">
        <v>384</v>
      </c>
      <c r="H3" s="1" t="s">
        <v>18</v>
      </c>
      <c r="I3" s="1" t="s">
        <v>19</v>
      </c>
      <c r="J3" s="1" t="s">
        <v>15</v>
      </c>
      <c r="K3" s="2">
        <v>44979</v>
      </c>
      <c r="L3" s="2">
        <v>44981</v>
      </c>
      <c r="M3" s="2"/>
      <c r="N3" t="str">
        <f t="shared" si="0"/>
        <v>NO</v>
      </c>
      <c r="O3" t="str" cm="1">
        <f t="array" ref="O3">_xlfn.XLOOKUP(C3,'Product Master'!$A$2:A$23,'Product Master'!$C$2:$C$23)</f>
        <v>Toys</v>
      </c>
      <c r="P3">
        <f t="shared" ref="P3:P66" si="1">IF(L3&lt;&gt;"",L3-K3,"NA")</f>
        <v>2</v>
      </c>
      <c r="Q3" t="str">
        <f>IFERROR(_xlfn.XLOOKUP(B3,'Customer Master'!$A$2:$A$50,'Customer Master'!$B$2:$B$50),"NOT FOUND")</f>
        <v>Ava White</v>
      </c>
      <c r="R3" t="str" cm="1">
        <f t="array" ref="R3">_xlfn.IFS(P3="NA","NA",P3&lt;=2,"Fast",P3&gt;2,"Slow")</f>
        <v>Fast</v>
      </c>
      <c r="S3" t="str">
        <f>_xlfn.XLOOKUP(C3,'Product Master'!$A$2:$A$23,'Product Master'!$B$2:$B$23)</f>
        <v>Doll House</v>
      </c>
    </row>
    <row r="4" spans="1:19" x14ac:dyDescent="0.3">
      <c r="A4" s="16" t="s">
        <v>58</v>
      </c>
      <c r="B4" s="1" t="s">
        <v>55</v>
      </c>
      <c r="C4" s="1" t="s">
        <v>20</v>
      </c>
      <c r="D4" s="1" t="s">
        <v>21</v>
      </c>
      <c r="E4" s="1">
        <v>194</v>
      </c>
      <c r="F4" s="1">
        <v>4</v>
      </c>
      <c r="G4" s="1">
        <v>776</v>
      </c>
      <c r="H4" s="1" t="s">
        <v>18</v>
      </c>
      <c r="I4" s="1" t="s">
        <v>22</v>
      </c>
      <c r="J4" s="1" t="s">
        <v>23</v>
      </c>
      <c r="K4" s="2">
        <v>45210</v>
      </c>
      <c r="L4" s="2"/>
      <c r="M4" s="2"/>
      <c r="N4" t="str">
        <f t="shared" si="0"/>
        <v>NO</v>
      </c>
      <c r="O4" t="str" cm="1">
        <f t="array" ref="O4">_xlfn.XLOOKUP(C4,'Product Master'!$A$2:A$23,'Product Master'!$C$2:$C$23)</f>
        <v>Home</v>
      </c>
      <c r="P4" t="str">
        <f t="shared" si="1"/>
        <v>NA</v>
      </c>
      <c r="Q4" t="str">
        <f>IFERROR(_xlfn.XLOOKUP(B4,'Customer Master'!$A$2:$A$50,'Customer Master'!$B$2:$B$50),"NOT FOUND")</f>
        <v>Zoe Mitchell</v>
      </c>
      <c r="R4" t="str" cm="1">
        <f t="array" ref="R4">_xlfn.IFS(P4="NA","NA",P4&lt;=2,"Fast",P4&gt;2,"Slow")</f>
        <v>NA</v>
      </c>
      <c r="S4" t="str">
        <f>_xlfn.XLOOKUP(C4,'Product Master'!$A$2:$A$23,'Product Master'!$B$2:$B$23)</f>
        <v>Vacuum Cleaner</v>
      </c>
    </row>
    <row r="5" spans="1:19" x14ac:dyDescent="0.3">
      <c r="A5" s="16" t="s">
        <v>59</v>
      </c>
      <c r="B5" s="1" t="s">
        <v>60</v>
      </c>
      <c r="C5" s="1" t="s">
        <v>20</v>
      </c>
      <c r="D5" s="1" t="s">
        <v>12</v>
      </c>
      <c r="E5" s="1">
        <v>196</v>
      </c>
      <c r="F5" s="1">
        <v>3</v>
      </c>
      <c r="G5" s="1">
        <v>588</v>
      </c>
      <c r="H5" s="1" t="s">
        <v>24</v>
      </c>
      <c r="I5" s="1" t="s">
        <v>14</v>
      </c>
      <c r="J5" s="1" t="s">
        <v>25</v>
      </c>
      <c r="K5" s="2">
        <v>45051</v>
      </c>
      <c r="L5" s="2"/>
      <c r="M5" s="2">
        <v>45057</v>
      </c>
      <c r="N5" t="str">
        <f t="shared" si="0"/>
        <v>YES</v>
      </c>
      <c r="O5" t="str" cm="1">
        <f t="array" ref="O5">_xlfn.XLOOKUP(C5,'Product Master'!$A$2:A$23,'Product Master'!$C$2:$C$23)</f>
        <v>Home</v>
      </c>
      <c r="P5" t="str">
        <f t="shared" si="1"/>
        <v>NA</v>
      </c>
      <c r="Q5" t="str">
        <f>IFERROR(_xlfn.XLOOKUP(B5,'Customer Master'!$A$2:$A$50,'Customer Master'!$B$2:$B$50),"NOT FOUND")</f>
        <v>Grace Ward</v>
      </c>
      <c r="R5" t="str" cm="1">
        <f t="array" ref="R5">_xlfn.IFS(P5="NA","NA",P5&lt;=2,"Fast",P5&gt;2,"Slow")</f>
        <v>NA</v>
      </c>
      <c r="S5" t="str">
        <f>_xlfn.XLOOKUP(C5,'Product Master'!$A$2:$A$23,'Product Master'!$B$2:$B$23)</f>
        <v>Vacuum Cleaner</v>
      </c>
    </row>
    <row r="6" spans="1:19" x14ac:dyDescent="0.3">
      <c r="A6" s="16" t="s">
        <v>61</v>
      </c>
      <c r="B6" s="1" t="s">
        <v>62</v>
      </c>
      <c r="C6" s="1" t="s">
        <v>26</v>
      </c>
      <c r="D6" s="1" t="s">
        <v>12</v>
      </c>
      <c r="E6" s="1">
        <v>59</v>
      </c>
      <c r="F6" s="1">
        <v>1</v>
      </c>
      <c r="G6" s="1">
        <v>59</v>
      </c>
      <c r="H6" s="1" t="s">
        <v>24</v>
      </c>
      <c r="I6" s="1" t="s">
        <v>19</v>
      </c>
      <c r="J6" s="1" t="s">
        <v>27</v>
      </c>
      <c r="K6" s="2">
        <v>44959</v>
      </c>
      <c r="L6" s="2">
        <v>44962</v>
      </c>
      <c r="M6" s="2"/>
      <c r="N6" t="str">
        <f t="shared" si="0"/>
        <v>NO</v>
      </c>
      <c r="O6" t="str" cm="1">
        <f t="array" ref="O6">_xlfn.XLOOKUP(C6,'Product Master'!$A$2:A$23,'Product Master'!$C$2:$C$23)</f>
        <v>Fashion</v>
      </c>
      <c r="P6">
        <f t="shared" si="1"/>
        <v>3</v>
      </c>
      <c r="Q6" t="str">
        <f>IFERROR(_xlfn.XLOOKUP(B6,'Customer Master'!$A$2:$A$50,'Customer Master'!$B$2:$B$50),"NOT FOUND")</f>
        <v>Hazel Brooks</v>
      </c>
      <c r="R6" t="str" cm="1">
        <f t="array" ref="R6">_xlfn.IFS(P6="NA","NA",P6&lt;=2,"Fast",P6&gt;2,"Slow")</f>
        <v>Slow</v>
      </c>
      <c r="S6" t="str">
        <f>_xlfn.XLOOKUP(C6,'Product Master'!$A$2:$A$23,'Product Master'!$B$2:$B$23)</f>
        <v>Jeans</v>
      </c>
    </row>
    <row r="7" spans="1:19" x14ac:dyDescent="0.3">
      <c r="A7" s="16" t="s">
        <v>63</v>
      </c>
      <c r="B7" s="1" t="s">
        <v>64</v>
      </c>
      <c r="C7" s="1" t="s">
        <v>26</v>
      </c>
      <c r="D7" s="1" t="s">
        <v>12</v>
      </c>
      <c r="E7" s="1">
        <v>58</v>
      </c>
      <c r="F7" s="1">
        <v>4</v>
      </c>
      <c r="G7" s="1">
        <v>232</v>
      </c>
      <c r="H7" s="1" t="s">
        <v>28</v>
      </c>
      <c r="I7" s="1" t="s">
        <v>14</v>
      </c>
      <c r="J7" s="1" t="s">
        <v>15</v>
      </c>
      <c r="K7" s="2">
        <v>45231</v>
      </c>
      <c r="L7" s="2"/>
      <c r="M7" s="2">
        <v>45232</v>
      </c>
      <c r="N7" t="str">
        <f t="shared" si="0"/>
        <v>YES</v>
      </c>
      <c r="O7" t="str" cm="1">
        <f t="array" ref="O7">_xlfn.XLOOKUP(C7,'Product Master'!$A$2:A$23,'Product Master'!$C$2:$C$23)</f>
        <v>Fashion</v>
      </c>
      <c r="P7" t="str">
        <f t="shared" si="1"/>
        <v>NA</v>
      </c>
      <c r="Q7" t="str">
        <f>IFERROR(_xlfn.XLOOKUP(B7,'Customer Master'!$A$2:$A$50,'Customer Master'!$B$2:$B$50),"NOT FOUND")</f>
        <v>Jackson Allen</v>
      </c>
      <c r="R7" t="str" cm="1">
        <f t="array" ref="R7">_xlfn.IFS(P7="NA","NA",P7&lt;=2,"Fast",P7&gt;2,"Slow")</f>
        <v>NA</v>
      </c>
      <c r="S7" t="str">
        <f>_xlfn.XLOOKUP(C7,'Product Master'!$A$2:$A$23,'Product Master'!$B$2:$B$23)</f>
        <v>Jeans</v>
      </c>
    </row>
    <row r="8" spans="1:19" x14ac:dyDescent="0.3">
      <c r="A8" s="16" t="s">
        <v>65</v>
      </c>
      <c r="B8" s="1" t="s">
        <v>66</v>
      </c>
      <c r="C8" s="1" t="s">
        <v>29</v>
      </c>
      <c r="D8" s="1" t="s">
        <v>30</v>
      </c>
      <c r="E8" s="1">
        <v>105</v>
      </c>
      <c r="F8" s="1">
        <v>3</v>
      </c>
      <c r="G8" s="1">
        <v>315</v>
      </c>
      <c r="H8" s="1" t="s">
        <v>31</v>
      </c>
      <c r="I8" s="1" t="s">
        <v>14</v>
      </c>
      <c r="J8" s="1" t="s">
        <v>15</v>
      </c>
      <c r="K8" s="2">
        <v>45152</v>
      </c>
      <c r="L8" s="2"/>
      <c r="M8" s="2">
        <v>45156</v>
      </c>
      <c r="N8" t="str">
        <f t="shared" si="0"/>
        <v>YES</v>
      </c>
      <c r="O8" t="str" cm="1">
        <f t="array" ref="O8">_xlfn.XLOOKUP(C8,'Product Master'!$A$2:A$23,'Product Master'!$C$2:$C$23)</f>
        <v>Electronics</v>
      </c>
      <c r="P8" t="str">
        <f t="shared" si="1"/>
        <v>NA</v>
      </c>
      <c r="Q8" t="str">
        <f>IFERROR(_xlfn.XLOOKUP(B8,'Customer Master'!$A$2:$A$50,'Customer Master'!$B$2:$B$50),"NOT FOUND")</f>
        <v>Noah Wilson</v>
      </c>
      <c r="R8" t="str" cm="1">
        <f t="array" ref="R8">_xlfn.IFS(P8="NA","NA",P8&lt;=2,"Fast",P8&gt;2,"Slow")</f>
        <v>NA</v>
      </c>
      <c r="S8" t="str">
        <f>_xlfn.XLOOKUP(C8,'Product Master'!$A$2:$A$23,'Product Master'!$B$2:$B$23)</f>
        <v>Bluetooth Speaker</v>
      </c>
    </row>
    <row r="9" spans="1:19" x14ac:dyDescent="0.3">
      <c r="A9" s="16" t="s">
        <v>67</v>
      </c>
      <c r="B9" s="1" t="s">
        <v>68</v>
      </c>
      <c r="C9" s="1" t="s">
        <v>32</v>
      </c>
      <c r="D9" s="1" t="s">
        <v>33</v>
      </c>
      <c r="E9" s="1">
        <v>37</v>
      </c>
      <c r="F9" s="1">
        <v>5</v>
      </c>
      <c r="G9" s="1">
        <v>185</v>
      </c>
      <c r="H9" s="1" t="s">
        <v>24</v>
      </c>
      <c r="I9" s="1" t="s">
        <v>14</v>
      </c>
      <c r="J9" s="1" t="s">
        <v>15</v>
      </c>
      <c r="K9" s="2">
        <v>45017</v>
      </c>
      <c r="L9" s="2"/>
      <c r="M9" s="2">
        <v>45022</v>
      </c>
      <c r="N9" t="str">
        <f t="shared" si="0"/>
        <v>YES</v>
      </c>
      <c r="O9" t="str" cm="1">
        <f t="array" ref="O9">_xlfn.XLOOKUP(C9,'Product Master'!$A$2:A$23,'Product Master'!$C$2:$C$23)</f>
        <v>Home</v>
      </c>
      <c r="P9" t="str">
        <f t="shared" si="1"/>
        <v>NA</v>
      </c>
      <c r="Q9" t="str">
        <f>IFERROR(_xlfn.XLOOKUP(B9,'Customer Master'!$A$2:$A$50,'Customer Master'!$B$2:$B$50),"NOT FOUND")</f>
        <v>Ava Robinson</v>
      </c>
      <c r="R9" t="str" cm="1">
        <f t="array" ref="R9">_xlfn.IFS(P9="NA","NA",P9&lt;=2,"Fast",P9&gt;2,"Slow")</f>
        <v>NA</v>
      </c>
      <c r="S9" t="str">
        <f>_xlfn.XLOOKUP(C9,'Product Master'!$A$2:$A$23,'Product Master'!$B$2:$B$23)</f>
        <v>Wall Clock</v>
      </c>
    </row>
    <row r="10" spans="1:19" x14ac:dyDescent="0.3">
      <c r="A10" s="16" t="s">
        <v>69</v>
      </c>
      <c r="B10" s="1" t="s">
        <v>70</v>
      </c>
      <c r="C10" s="1" t="s">
        <v>34</v>
      </c>
      <c r="D10" s="1" t="s">
        <v>30</v>
      </c>
      <c r="E10" s="1">
        <v>44</v>
      </c>
      <c r="F10" s="1">
        <v>2</v>
      </c>
      <c r="G10" s="1">
        <v>88</v>
      </c>
      <c r="H10" s="1" t="s">
        <v>18</v>
      </c>
      <c r="I10" s="1" t="s">
        <v>22</v>
      </c>
      <c r="J10" s="1" t="s">
        <v>27</v>
      </c>
      <c r="K10" s="2">
        <v>45128</v>
      </c>
      <c r="L10" s="2"/>
      <c r="M10" s="2"/>
      <c r="N10" t="str">
        <f t="shared" si="0"/>
        <v>NO</v>
      </c>
      <c r="O10" t="str" cm="1">
        <f t="array" ref="O10">_xlfn.XLOOKUP(C10,'Product Master'!$A$2:A$23,'Product Master'!$C$2:$C$23)</f>
        <v>Fashion</v>
      </c>
      <c r="P10" t="str">
        <f t="shared" si="1"/>
        <v>NA</v>
      </c>
      <c r="Q10" t="str">
        <f>IFERROR(_xlfn.XLOOKUP(B10,'Customer Master'!$A$2:$A$50,'Customer Master'!$B$2:$B$50),"NOT FOUND")</f>
        <v>Olivia Martinez</v>
      </c>
      <c r="R10" t="str" cm="1">
        <f t="array" ref="R10">_xlfn.IFS(P10="NA","NA",P10&lt;=2,"Fast",P10&gt;2,"Slow")</f>
        <v>NA</v>
      </c>
      <c r="S10" t="str">
        <f>_xlfn.XLOOKUP(C10,'Product Master'!$A$2:$A$23,'Product Master'!$B$2:$B$23)</f>
        <v>Formal Shirt</v>
      </c>
    </row>
    <row r="11" spans="1:19" x14ac:dyDescent="0.3">
      <c r="A11" s="16" t="s">
        <v>71</v>
      </c>
      <c r="B11" s="1" t="s">
        <v>68</v>
      </c>
      <c r="C11" s="1" t="s">
        <v>35</v>
      </c>
      <c r="D11" s="1" t="s">
        <v>21</v>
      </c>
      <c r="E11" s="1">
        <v>141</v>
      </c>
      <c r="F11" s="1">
        <v>4</v>
      </c>
      <c r="G11" s="1">
        <v>564</v>
      </c>
      <c r="H11" s="1" t="s">
        <v>31</v>
      </c>
      <c r="I11" s="1" t="s">
        <v>22</v>
      </c>
      <c r="J11" s="1" t="s">
        <v>15</v>
      </c>
      <c r="K11" s="2">
        <v>45289</v>
      </c>
      <c r="L11" s="2"/>
      <c r="M11" s="2"/>
      <c r="N11" t="str">
        <f t="shared" si="0"/>
        <v>NO</v>
      </c>
      <c r="O11" t="str" cm="1">
        <f t="array" ref="O11">_xlfn.XLOOKUP(C11,'Product Master'!$A$2:A$23,'Product Master'!$C$2:$C$23)</f>
        <v>Home</v>
      </c>
      <c r="P11" t="str">
        <f t="shared" si="1"/>
        <v>NA</v>
      </c>
      <c r="Q11" t="str">
        <f>IFERROR(_xlfn.XLOOKUP(B11,'Customer Master'!$A$2:$A$50,'Customer Master'!$B$2:$B$50),"NOT FOUND")</f>
        <v>Ava Robinson</v>
      </c>
      <c r="R11" t="str" cm="1">
        <f t="array" ref="R11">_xlfn.IFS(P11="NA","NA",P11&lt;=2,"Fast",P11&gt;2,"Slow")</f>
        <v>NA</v>
      </c>
      <c r="S11" t="str">
        <f>_xlfn.XLOOKUP(C11,'Product Master'!$A$2:$A$23,'Product Master'!$B$2:$B$23)</f>
        <v>Cookware Set</v>
      </c>
    </row>
    <row r="12" spans="1:19" x14ac:dyDescent="0.3">
      <c r="A12" s="16" t="s">
        <v>72</v>
      </c>
      <c r="B12" s="1" t="s">
        <v>73</v>
      </c>
      <c r="C12" s="1" t="s">
        <v>36</v>
      </c>
      <c r="D12" s="1" t="s">
        <v>21</v>
      </c>
      <c r="E12" s="1">
        <v>249</v>
      </c>
      <c r="F12" s="1">
        <v>1</v>
      </c>
      <c r="G12" s="1">
        <v>249</v>
      </c>
      <c r="H12" s="1" t="s">
        <v>28</v>
      </c>
      <c r="I12" s="1" t="s">
        <v>14</v>
      </c>
      <c r="J12" s="1" t="s">
        <v>23</v>
      </c>
      <c r="K12" s="2">
        <v>45050</v>
      </c>
      <c r="L12" s="2"/>
      <c r="M12" s="2">
        <v>45054</v>
      </c>
      <c r="N12" t="str">
        <f t="shared" si="0"/>
        <v>YES</v>
      </c>
      <c r="O12" t="str" cm="1">
        <f t="array" ref="O12">_xlfn.XLOOKUP(C12,'Product Master'!$A$2:A$23,'Product Master'!$C$2:$C$23)</f>
        <v>Electronics</v>
      </c>
      <c r="P12" t="str">
        <f t="shared" si="1"/>
        <v>NA</v>
      </c>
      <c r="Q12" t="str">
        <f>IFERROR(_xlfn.XLOOKUP(B12,'Customer Master'!$A$2:$A$50,'Customer Master'!$B$2:$B$50),"NOT FOUND")</f>
        <v>Emily Johnson</v>
      </c>
      <c r="R12" t="str" cm="1">
        <f t="array" ref="R12">_xlfn.IFS(P12="NA","NA",P12&lt;=2,"Fast",P12&gt;2,"Slow")</f>
        <v>NA</v>
      </c>
      <c r="S12" t="str">
        <f>_xlfn.XLOOKUP(C12,'Product Master'!$A$2:$A$23,'Product Master'!$B$2:$B$23)</f>
        <v>Smartwatch</v>
      </c>
    </row>
    <row r="13" spans="1:19" x14ac:dyDescent="0.3">
      <c r="A13" s="16" t="s">
        <v>74</v>
      </c>
      <c r="B13" s="1" t="s">
        <v>75</v>
      </c>
      <c r="C13" s="1" t="s">
        <v>36</v>
      </c>
      <c r="D13" s="1" t="s">
        <v>30</v>
      </c>
      <c r="E13" s="1">
        <v>247</v>
      </c>
      <c r="F13" s="1">
        <v>3</v>
      </c>
      <c r="G13" s="1">
        <v>741</v>
      </c>
      <c r="H13" s="1" t="s">
        <v>28</v>
      </c>
      <c r="I13" s="1" t="s">
        <v>22</v>
      </c>
      <c r="J13" s="1" t="s">
        <v>37</v>
      </c>
      <c r="K13" s="2">
        <v>45132</v>
      </c>
      <c r="L13" s="2"/>
      <c r="M13" s="2"/>
      <c r="N13" t="str">
        <f t="shared" si="0"/>
        <v>NO</v>
      </c>
      <c r="O13" t="str" cm="1">
        <f t="array" ref="O13">_xlfn.XLOOKUP(C13,'Product Master'!$A$2:A$23,'Product Master'!$C$2:$C$23)</f>
        <v>Electronics</v>
      </c>
      <c r="P13" t="str">
        <f t="shared" si="1"/>
        <v>NA</v>
      </c>
      <c r="Q13" t="str">
        <f>IFERROR(_xlfn.XLOOKUP(B13,'Customer Master'!$A$2:$A$50,'Customer Master'!$B$2:$B$50),"NOT FOUND")</f>
        <v>Emily Johnson</v>
      </c>
      <c r="R13" t="str" cm="1">
        <f t="array" ref="R13">_xlfn.IFS(P13="NA","NA",P13&lt;=2,"Fast",P13&gt;2,"Slow")</f>
        <v>NA</v>
      </c>
      <c r="S13" t="str">
        <f>_xlfn.XLOOKUP(C13,'Product Master'!$A$2:$A$23,'Product Master'!$B$2:$B$23)</f>
        <v>Smartwatch</v>
      </c>
    </row>
    <row r="14" spans="1:19" x14ac:dyDescent="0.3">
      <c r="A14" s="16" t="s">
        <v>76</v>
      </c>
      <c r="B14" s="1" t="s">
        <v>77</v>
      </c>
      <c r="C14" s="1" t="s">
        <v>38</v>
      </c>
      <c r="D14" s="1" t="s">
        <v>30</v>
      </c>
      <c r="E14" s="1">
        <v>96</v>
      </c>
      <c r="F14" s="1">
        <v>1</v>
      </c>
      <c r="G14" s="1">
        <v>96</v>
      </c>
      <c r="H14" s="1" t="s">
        <v>13</v>
      </c>
      <c r="I14" s="1" t="s">
        <v>14</v>
      </c>
      <c r="J14" s="1" t="s">
        <v>27</v>
      </c>
      <c r="K14" s="2">
        <v>44982</v>
      </c>
      <c r="L14" s="2"/>
      <c r="M14" s="2">
        <v>44985</v>
      </c>
      <c r="N14" t="str">
        <f t="shared" si="0"/>
        <v>YES</v>
      </c>
      <c r="O14" t="str" cm="1">
        <f t="array" ref="O14">_xlfn.XLOOKUP(C14,'Product Master'!$A$2:A$23,'Product Master'!$C$2:$C$23)</f>
        <v>Fashion</v>
      </c>
      <c r="P14" t="str">
        <f t="shared" si="1"/>
        <v>NA</v>
      </c>
      <c r="Q14" t="str">
        <f>IFERROR(_xlfn.XLOOKUP(B14,'Customer Master'!$A$2:$A$50,'Customer Master'!$B$2:$B$50),"NOT FOUND")</f>
        <v>Charlotte Reed</v>
      </c>
      <c r="R14" t="str" cm="1">
        <f t="array" ref="R14">_xlfn.IFS(P14="NA","NA",P14&lt;=2,"Fast",P14&gt;2,"Slow")</f>
        <v>NA</v>
      </c>
      <c r="S14" t="str">
        <f>_xlfn.XLOOKUP(C14,'Product Master'!$A$2:$A$23,'Product Master'!$B$2:$B$23)</f>
        <v>Shoes</v>
      </c>
    </row>
    <row r="15" spans="1:19" x14ac:dyDescent="0.3">
      <c r="A15" s="16" t="s">
        <v>78</v>
      </c>
      <c r="B15" s="1" t="s">
        <v>79</v>
      </c>
      <c r="C15" s="1" t="s">
        <v>39</v>
      </c>
      <c r="D15" s="1" t="s">
        <v>33</v>
      </c>
      <c r="E15" s="1">
        <v>74</v>
      </c>
      <c r="F15" s="1">
        <v>5</v>
      </c>
      <c r="G15" s="1">
        <v>370</v>
      </c>
      <c r="H15" s="1" t="s">
        <v>13</v>
      </c>
      <c r="I15" s="1" t="s">
        <v>14</v>
      </c>
      <c r="J15" s="1" t="s">
        <v>27</v>
      </c>
      <c r="K15" s="2">
        <v>44981</v>
      </c>
      <c r="L15" s="2"/>
      <c r="M15" s="2">
        <v>44982</v>
      </c>
      <c r="N15" t="str">
        <f t="shared" si="0"/>
        <v>YES</v>
      </c>
      <c r="O15" t="str" cm="1">
        <f t="array" ref="O15">_xlfn.XLOOKUP(C15,'Product Master'!$A$2:A$23,'Product Master'!$C$2:$C$23)</f>
        <v>Electronics</v>
      </c>
      <c r="P15" t="str">
        <f t="shared" si="1"/>
        <v>NA</v>
      </c>
      <c r="Q15" t="str">
        <f>IFERROR(_xlfn.XLOOKUP(B15,'Customer Master'!$A$2:$A$50,'Customer Master'!$B$2:$B$50),"NOT FOUND")</f>
        <v>Hazel Rivera</v>
      </c>
      <c r="R15" t="str" cm="1">
        <f t="array" ref="R15">_xlfn.IFS(P15="NA","NA",P15&lt;=2,"Fast",P15&gt;2,"Slow")</f>
        <v>NA</v>
      </c>
      <c r="S15" t="str">
        <f>_xlfn.XLOOKUP(C15,'Product Master'!$A$2:$A$23,'Product Master'!$B$2:$B$23)</f>
        <v>Gaming Mouse</v>
      </c>
    </row>
    <row r="16" spans="1:19" x14ac:dyDescent="0.3">
      <c r="A16" s="16" t="s">
        <v>80</v>
      </c>
      <c r="B16" s="1" t="s">
        <v>79</v>
      </c>
      <c r="C16" s="1" t="s">
        <v>40</v>
      </c>
      <c r="D16" s="1" t="s">
        <v>21</v>
      </c>
      <c r="E16" s="1">
        <v>27</v>
      </c>
      <c r="F16" s="1">
        <v>1</v>
      </c>
      <c r="G16" s="1">
        <v>27</v>
      </c>
      <c r="H16" s="1" t="s">
        <v>18</v>
      </c>
      <c r="I16" s="1" t="s">
        <v>14</v>
      </c>
      <c r="J16" s="1" t="s">
        <v>27</v>
      </c>
      <c r="K16" s="2">
        <v>45164</v>
      </c>
      <c r="L16" s="2"/>
      <c r="M16" s="2">
        <v>45171</v>
      </c>
      <c r="N16" t="str">
        <f t="shared" si="0"/>
        <v>YES</v>
      </c>
      <c r="O16" t="str" cm="1">
        <f t="array" ref="O16">_xlfn.XLOOKUP(C16,'Product Master'!$A$2:A$23,'Product Master'!$C$2:$C$23)</f>
        <v>Fashion</v>
      </c>
      <c r="P16" t="str">
        <f t="shared" si="1"/>
        <v>NA</v>
      </c>
      <c r="Q16" t="str">
        <f>IFERROR(_xlfn.XLOOKUP(B16,'Customer Master'!$A$2:$A$50,'Customer Master'!$B$2:$B$50),"NOT FOUND")</f>
        <v>Hazel Rivera</v>
      </c>
      <c r="R16" t="str" cm="1">
        <f t="array" ref="R16">_xlfn.IFS(P16="NA","NA",P16&lt;=2,"Fast",P16&gt;2,"Slow")</f>
        <v>NA</v>
      </c>
      <c r="S16" t="str">
        <f>_xlfn.XLOOKUP(C16,'Product Master'!$A$2:$A$23,'Product Master'!$B$2:$B$23)</f>
        <v>T-Shirt</v>
      </c>
    </row>
    <row r="17" spans="1:19" x14ac:dyDescent="0.3">
      <c r="A17" s="16" t="s">
        <v>81</v>
      </c>
      <c r="B17" s="1" t="s">
        <v>82</v>
      </c>
      <c r="C17" s="1" t="s">
        <v>40</v>
      </c>
      <c r="D17" s="1" t="s">
        <v>21</v>
      </c>
      <c r="E17" s="1">
        <v>27</v>
      </c>
      <c r="F17" s="1">
        <v>3</v>
      </c>
      <c r="G17" s="1">
        <v>81</v>
      </c>
      <c r="H17" s="1" t="s">
        <v>31</v>
      </c>
      <c r="I17" s="1" t="s">
        <v>22</v>
      </c>
      <c r="J17" s="1" t="s">
        <v>27</v>
      </c>
      <c r="K17" s="2">
        <v>44970</v>
      </c>
      <c r="L17" s="2"/>
      <c r="M17" s="2"/>
      <c r="N17" t="str">
        <f t="shared" si="0"/>
        <v>NO</v>
      </c>
      <c r="O17" t="str" cm="1">
        <f t="array" ref="O17">_xlfn.XLOOKUP(C17,'Product Master'!$A$2:A$23,'Product Master'!$C$2:$C$23)</f>
        <v>Fashion</v>
      </c>
      <c r="P17" t="str">
        <f t="shared" si="1"/>
        <v>NA</v>
      </c>
      <c r="Q17" t="str">
        <f>IFERROR(_xlfn.XLOOKUP(B17,'Customer Master'!$A$2:$A$50,'Customer Master'!$B$2:$B$50),"NOT FOUND")</f>
        <v>Scarlett Murphy</v>
      </c>
      <c r="R17" t="str" cm="1">
        <f t="array" ref="R17">_xlfn.IFS(P17="NA","NA",P17&lt;=2,"Fast",P17&gt;2,"Slow")</f>
        <v>NA</v>
      </c>
      <c r="S17" t="str">
        <f>_xlfn.XLOOKUP(C17,'Product Master'!$A$2:$A$23,'Product Master'!$B$2:$B$23)</f>
        <v>T-Shirt</v>
      </c>
    </row>
    <row r="18" spans="1:19" x14ac:dyDescent="0.3">
      <c r="A18" s="16" t="s">
        <v>83</v>
      </c>
      <c r="B18" s="1" t="s">
        <v>75</v>
      </c>
      <c r="C18" s="1" t="s">
        <v>41</v>
      </c>
      <c r="D18" s="1" t="s">
        <v>17</v>
      </c>
      <c r="E18" s="1">
        <v>21</v>
      </c>
      <c r="F18" s="1">
        <v>3</v>
      </c>
      <c r="G18" s="1">
        <v>63</v>
      </c>
      <c r="H18" s="1" t="s">
        <v>18</v>
      </c>
      <c r="I18" s="1" t="s">
        <v>19</v>
      </c>
      <c r="J18" s="1" t="s">
        <v>15</v>
      </c>
      <c r="K18" s="2">
        <v>45105</v>
      </c>
      <c r="L18" s="2">
        <v>45108</v>
      </c>
      <c r="M18" s="2"/>
      <c r="N18" t="str">
        <f t="shared" si="0"/>
        <v>NO</v>
      </c>
      <c r="O18" t="str" cm="1">
        <f t="array" ref="O18">_xlfn.XLOOKUP(C18,'Product Master'!$A$2:A$23,'Product Master'!$C$2:$C$23)</f>
        <v>Books</v>
      </c>
      <c r="P18">
        <f t="shared" si="1"/>
        <v>3</v>
      </c>
      <c r="Q18" t="str">
        <f>IFERROR(_xlfn.XLOOKUP(B18,'Customer Master'!$A$2:$A$50,'Customer Master'!$B$2:$B$50),"NOT FOUND")</f>
        <v>Emily Johnson</v>
      </c>
      <c r="R18" t="str" cm="1">
        <f t="array" ref="R18">_xlfn.IFS(P18="NA","NA",P18&lt;=2,"Fast",P18&gt;2,"Slow")</f>
        <v>Slow</v>
      </c>
      <c r="S18" t="str">
        <f>_xlfn.XLOOKUP(C18,'Product Master'!$A$2:$A$23,'Product Master'!$B$2:$B$23)</f>
        <v>Novel</v>
      </c>
    </row>
    <row r="19" spans="1:19" x14ac:dyDescent="0.3">
      <c r="A19" s="16" t="s">
        <v>84</v>
      </c>
      <c r="B19" s="1" t="s">
        <v>85</v>
      </c>
      <c r="C19" s="1" t="s">
        <v>42</v>
      </c>
      <c r="D19" s="1" t="s">
        <v>33</v>
      </c>
      <c r="E19" s="1">
        <v>70</v>
      </c>
      <c r="F19" s="1">
        <v>5</v>
      </c>
      <c r="G19" s="1">
        <v>350</v>
      </c>
      <c r="H19" s="1" t="s">
        <v>24</v>
      </c>
      <c r="I19" s="1" t="s">
        <v>22</v>
      </c>
      <c r="J19" s="1" t="s">
        <v>27</v>
      </c>
      <c r="K19" s="2">
        <v>45258</v>
      </c>
      <c r="L19" s="2"/>
      <c r="M19" s="2"/>
      <c r="N19" t="str">
        <f t="shared" si="0"/>
        <v>NO</v>
      </c>
      <c r="O19" t="str" cm="1">
        <f t="array" ref="O19">_xlfn.XLOOKUP(C19,'Product Master'!$A$2:A$23,'Product Master'!$C$2:$C$23)</f>
        <v>Books</v>
      </c>
      <c r="P19" t="str">
        <f t="shared" si="1"/>
        <v>NA</v>
      </c>
      <c r="Q19" t="str">
        <f>IFERROR(_xlfn.XLOOKUP(B19,'Customer Master'!$A$2:$A$50,'Customer Master'!$B$2:$B$50),"NOT FOUND")</f>
        <v>Mason Hall</v>
      </c>
      <c r="R19" t="str" cm="1">
        <f t="array" ref="R19">_xlfn.IFS(P19="NA","NA",P19&lt;=2,"Fast",P19&gt;2,"Slow")</f>
        <v>NA</v>
      </c>
      <c r="S19" t="str">
        <f>_xlfn.XLOOKUP(C19,'Product Master'!$A$2:$A$23,'Product Master'!$B$2:$B$23)</f>
        <v>Textbook</v>
      </c>
    </row>
    <row r="20" spans="1:19" x14ac:dyDescent="0.3">
      <c r="A20" s="16" t="s">
        <v>86</v>
      </c>
      <c r="B20" s="1" t="s">
        <v>87</v>
      </c>
      <c r="C20" s="1" t="s">
        <v>38</v>
      </c>
      <c r="D20" s="1" t="s">
        <v>21</v>
      </c>
      <c r="E20" s="1">
        <v>94</v>
      </c>
      <c r="F20" s="1">
        <v>4</v>
      </c>
      <c r="G20" s="1">
        <v>376</v>
      </c>
      <c r="H20" s="1" t="s">
        <v>18</v>
      </c>
      <c r="I20" s="1" t="s">
        <v>22</v>
      </c>
      <c r="J20" s="1" t="s">
        <v>23</v>
      </c>
      <c r="K20" s="2">
        <v>45163</v>
      </c>
      <c r="L20" s="2"/>
      <c r="M20" s="2"/>
      <c r="N20" t="str">
        <f t="shared" si="0"/>
        <v>NO</v>
      </c>
      <c r="O20" t="str" cm="1">
        <f t="array" ref="O20">_xlfn.XLOOKUP(C20,'Product Master'!$A$2:A$23,'Product Master'!$C$2:$C$23)</f>
        <v>Fashion</v>
      </c>
      <c r="P20" t="str">
        <f t="shared" si="1"/>
        <v>NA</v>
      </c>
      <c r="Q20" t="str">
        <f>IFERROR(_xlfn.XLOOKUP(B20,'Customer Master'!$A$2:$A$50,'Customer Master'!$B$2:$B$50),"NOT FOUND")</f>
        <v>Jacob Price</v>
      </c>
      <c r="R20" t="str" cm="1">
        <f t="array" ref="R20">_xlfn.IFS(P20="NA","NA",P20&lt;=2,"Fast",P20&gt;2,"Slow")</f>
        <v>NA</v>
      </c>
      <c r="S20" t="str">
        <f>_xlfn.XLOOKUP(C20,'Product Master'!$A$2:$A$23,'Product Master'!$B$2:$B$23)</f>
        <v>Shoes</v>
      </c>
    </row>
    <row r="21" spans="1:19" x14ac:dyDescent="0.3">
      <c r="A21" s="16" t="s">
        <v>88</v>
      </c>
      <c r="B21" s="1" t="s">
        <v>89</v>
      </c>
      <c r="C21" s="1" t="s">
        <v>43</v>
      </c>
      <c r="D21" s="1" t="s">
        <v>12</v>
      </c>
      <c r="E21" s="1">
        <v>813</v>
      </c>
      <c r="F21" s="1">
        <v>2</v>
      </c>
      <c r="G21" s="1">
        <v>1626</v>
      </c>
      <c r="H21" s="1" t="s">
        <v>18</v>
      </c>
      <c r="I21" s="1" t="s">
        <v>22</v>
      </c>
      <c r="J21" s="1" t="s">
        <v>37</v>
      </c>
      <c r="K21" s="2">
        <v>45028</v>
      </c>
      <c r="L21" s="2"/>
      <c r="M21" s="2"/>
      <c r="N21" t="str">
        <f t="shared" si="0"/>
        <v>NO</v>
      </c>
      <c r="O21" t="str" cm="1">
        <f t="array" ref="O21">_xlfn.XLOOKUP(C21,'Product Master'!$A$2:A$23,'Product Master'!$C$2:$C$23)</f>
        <v>Electronics</v>
      </c>
      <c r="P21" t="str">
        <f t="shared" si="1"/>
        <v>NA</v>
      </c>
      <c r="Q21" t="str">
        <f>IFERROR(_xlfn.XLOOKUP(B21,'Customer Master'!$A$2:$A$50,'Customer Master'!$B$2:$B$50),"NOT FOUND")</f>
        <v>Emma King</v>
      </c>
      <c r="R21" t="str" cm="1">
        <f t="array" ref="R21">_xlfn.IFS(P21="NA","NA",P21&lt;=2,"Fast",P21&gt;2,"Slow")</f>
        <v>NA</v>
      </c>
      <c r="S21" t="str">
        <f>_xlfn.XLOOKUP(C21,'Product Master'!$A$2:$A$23,'Product Master'!$B$2:$B$23)</f>
        <v>Smartphone</v>
      </c>
    </row>
    <row r="22" spans="1:19" x14ac:dyDescent="0.3">
      <c r="A22" s="16" t="s">
        <v>90</v>
      </c>
      <c r="B22" s="1" t="s">
        <v>70</v>
      </c>
      <c r="C22" s="1" t="s">
        <v>41</v>
      </c>
      <c r="D22" s="1" t="s">
        <v>30</v>
      </c>
      <c r="E22" s="1">
        <v>21</v>
      </c>
      <c r="F22" s="1">
        <v>4</v>
      </c>
      <c r="G22" s="1">
        <v>84</v>
      </c>
      <c r="H22" s="1" t="s">
        <v>24</v>
      </c>
      <c r="I22" s="1" t="s">
        <v>22</v>
      </c>
      <c r="J22" s="1" t="s">
        <v>27</v>
      </c>
      <c r="K22" s="2">
        <v>45201</v>
      </c>
      <c r="L22" s="2"/>
      <c r="M22" s="2"/>
      <c r="N22" t="str">
        <f t="shared" si="0"/>
        <v>NO</v>
      </c>
      <c r="O22" t="str" cm="1">
        <f t="array" ref="O22">_xlfn.XLOOKUP(C22,'Product Master'!$A$2:A$23,'Product Master'!$C$2:$C$23)</f>
        <v>Books</v>
      </c>
      <c r="P22" t="str">
        <f t="shared" si="1"/>
        <v>NA</v>
      </c>
      <c r="Q22" t="str">
        <f>IFERROR(_xlfn.XLOOKUP(B22,'Customer Master'!$A$2:$A$50,'Customer Master'!$B$2:$B$50),"NOT FOUND")</f>
        <v>Olivia Martinez</v>
      </c>
      <c r="R22" t="str" cm="1">
        <f t="array" ref="R22">_xlfn.IFS(P22="NA","NA",P22&lt;=2,"Fast",P22&gt;2,"Slow")</f>
        <v>NA</v>
      </c>
      <c r="S22" t="str">
        <f>_xlfn.XLOOKUP(C22,'Product Master'!$A$2:$A$23,'Product Master'!$B$2:$B$23)</f>
        <v>Novel</v>
      </c>
    </row>
    <row r="23" spans="1:19" x14ac:dyDescent="0.3">
      <c r="A23" s="16" t="s">
        <v>91</v>
      </c>
      <c r="B23" s="1" t="s">
        <v>77</v>
      </c>
      <c r="C23" s="1" t="s">
        <v>11</v>
      </c>
      <c r="D23" s="1" t="s">
        <v>33</v>
      </c>
      <c r="E23" s="1">
        <v>46</v>
      </c>
      <c r="F23" s="1">
        <v>5</v>
      </c>
      <c r="G23" s="1">
        <v>230</v>
      </c>
      <c r="H23" s="1" t="s">
        <v>24</v>
      </c>
      <c r="I23" s="1" t="s">
        <v>22</v>
      </c>
      <c r="J23" s="1" t="s">
        <v>23</v>
      </c>
      <c r="K23" s="2">
        <v>45239</v>
      </c>
      <c r="L23" s="2"/>
      <c r="M23" s="2"/>
      <c r="N23" t="str">
        <f t="shared" si="0"/>
        <v>NO</v>
      </c>
      <c r="O23" t="str" cm="1">
        <f t="array" ref="O23">_xlfn.XLOOKUP(C23,'Product Master'!$A$2:A$23,'Product Master'!$C$2:$C$23)</f>
        <v>Home</v>
      </c>
      <c r="P23" t="str">
        <f t="shared" si="1"/>
        <v>NA</v>
      </c>
      <c r="Q23" t="str">
        <f>IFERROR(_xlfn.XLOOKUP(B23,'Customer Master'!$A$2:$A$50,'Customer Master'!$B$2:$B$50),"NOT FOUND")</f>
        <v>Charlotte Reed</v>
      </c>
      <c r="R23" t="str" cm="1">
        <f t="array" ref="R23">_xlfn.IFS(P23="NA","NA",P23&lt;=2,"Fast",P23&gt;2,"Slow")</f>
        <v>NA</v>
      </c>
      <c r="S23" t="str">
        <f>_xlfn.XLOOKUP(C23,'Product Master'!$A$2:$A$23,'Product Master'!$B$2:$B$23)</f>
        <v>Lamp</v>
      </c>
    </row>
    <row r="24" spans="1:19" x14ac:dyDescent="0.3">
      <c r="A24" s="16" t="s">
        <v>92</v>
      </c>
      <c r="B24" s="1" t="s">
        <v>93</v>
      </c>
      <c r="C24" s="1" t="s">
        <v>26</v>
      </c>
      <c r="D24" s="1" t="s">
        <v>33</v>
      </c>
      <c r="E24" s="1">
        <v>58</v>
      </c>
      <c r="F24" s="1">
        <v>3</v>
      </c>
      <c r="G24" s="1">
        <v>174</v>
      </c>
      <c r="H24" s="1" t="s">
        <v>28</v>
      </c>
      <c r="I24" s="1" t="s">
        <v>14</v>
      </c>
      <c r="J24" s="1" t="s">
        <v>27</v>
      </c>
      <c r="K24" s="2">
        <v>44970</v>
      </c>
      <c r="L24" s="2"/>
      <c r="M24" s="2">
        <v>44971</v>
      </c>
      <c r="N24" t="str">
        <f t="shared" si="0"/>
        <v>YES</v>
      </c>
      <c r="O24" t="str" cm="1">
        <f t="array" ref="O24">_xlfn.XLOOKUP(C24,'Product Master'!$A$2:A$23,'Product Master'!$C$2:$C$23)</f>
        <v>Fashion</v>
      </c>
      <c r="P24" t="str">
        <f t="shared" si="1"/>
        <v>NA</v>
      </c>
      <c r="Q24" t="str">
        <f>IFERROR(_xlfn.XLOOKUP(B24,'Customer Master'!$A$2:$A$50,'Customer Master'!$B$2:$B$50),"NOT FOUND")</f>
        <v>Elijah Lewis</v>
      </c>
      <c r="R24" t="str" cm="1">
        <f t="array" ref="R24">_xlfn.IFS(P24="NA","NA",P24&lt;=2,"Fast",P24&gt;2,"Slow")</f>
        <v>NA</v>
      </c>
      <c r="S24" t="str">
        <f>_xlfn.XLOOKUP(C24,'Product Master'!$A$2:$A$23,'Product Master'!$B$2:$B$23)</f>
        <v>Jeans</v>
      </c>
    </row>
    <row r="25" spans="1:19" x14ac:dyDescent="0.3">
      <c r="A25" s="16" t="s">
        <v>94</v>
      </c>
      <c r="B25" s="1" t="s">
        <v>95</v>
      </c>
      <c r="C25" s="1" t="s">
        <v>38</v>
      </c>
      <c r="D25" s="1" t="s">
        <v>33</v>
      </c>
      <c r="E25" s="1">
        <v>96</v>
      </c>
      <c r="F25" s="1">
        <v>5</v>
      </c>
      <c r="G25" s="1">
        <v>480</v>
      </c>
      <c r="H25" s="1" t="s">
        <v>28</v>
      </c>
      <c r="I25" s="1" t="s">
        <v>19</v>
      </c>
      <c r="J25" s="1" t="s">
        <v>27</v>
      </c>
      <c r="K25" s="2">
        <v>45232</v>
      </c>
      <c r="L25" s="2">
        <v>45235</v>
      </c>
      <c r="M25" s="2"/>
      <c r="N25" t="str">
        <f t="shared" si="0"/>
        <v>NO</v>
      </c>
      <c r="O25" t="str" cm="1">
        <f t="array" ref="O25">_xlfn.XLOOKUP(C25,'Product Master'!$A$2:A$23,'Product Master'!$C$2:$C$23)</f>
        <v>Fashion</v>
      </c>
      <c r="P25">
        <f t="shared" si="1"/>
        <v>3</v>
      </c>
      <c r="Q25" t="str">
        <f>IFERROR(_xlfn.XLOOKUP(B25,'Customer Master'!$A$2:$A$50,'Customer Master'!$B$2:$B$50),"NOT FOUND")</f>
        <v>Lily Bennett</v>
      </c>
      <c r="R25" t="str" cm="1">
        <f t="array" ref="R25">_xlfn.IFS(P25="NA","NA",P25&lt;=2,"Fast",P25&gt;2,"Slow")</f>
        <v>Slow</v>
      </c>
      <c r="S25" t="str">
        <f>_xlfn.XLOOKUP(C25,'Product Master'!$A$2:$A$23,'Product Master'!$B$2:$B$23)</f>
        <v>Shoes</v>
      </c>
    </row>
    <row r="26" spans="1:19" x14ac:dyDescent="0.3">
      <c r="A26" s="16" t="s">
        <v>96</v>
      </c>
      <c r="B26" s="1" t="s">
        <v>97</v>
      </c>
      <c r="C26" s="1" t="s">
        <v>44</v>
      </c>
      <c r="D26" s="1" t="s">
        <v>21</v>
      </c>
      <c r="E26" s="1">
        <v>43</v>
      </c>
      <c r="F26" s="1">
        <v>1</v>
      </c>
      <c r="G26" s="1">
        <v>43</v>
      </c>
      <c r="H26" s="1" t="s">
        <v>31</v>
      </c>
      <c r="I26" s="1" t="s">
        <v>19</v>
      </c>
      <c r="J26" s="1" t="s">
        <v>27</v>
      </c>
      <c r="K26" s="2">
        <v>45074</v>
      </c>
      <c r="L26" s="2">
        <v>45076</v>
      </c>
      <c r="M26" s="2"/>
      <c r="N26" t="str">
        <f t="shared" si="0"/>
        <v>NO</v>
      </c>
      <c r="O26" t="str" cm="1">
        <f t="array" ref="O26">_xlfn.XLOOKUP(C26,'Product Master'!$A$2:A$23,'Product Master'!$C$2:$C$23)</f>
        <v>Toys</v>
      </c>
      <c r="P26">
        <f t="shared" si="1"/>
        <v>2</v>
      </c>
      <c r="Q26" t="str">
        <f>IFERROR(_xlfn.XLOOKUP(B26,'Customer Master'!$A$2:$A$50,'Customer Master'!$B$2:$B$50),"NOT FOUND")</f>
        <v>Benjamin Clark</v>
      </c>
      <c r="R26" t="str" cm="1">
        <f t="array" ref="R26">_xlfn.IFS(P26="NA","NA",P26&lt;=2,"Fast",P26&gt;2,"Slow")</f>
        <v>Fast</v>
      </c>
      <c r="S26" t="str">
        <f>_xlfn.XLOOKUP(C26,'Product Master'!$A$2:$A$23,'Product Master'!$B$2:$B$23)</f>
        <v>Action Figure</v>
      </c>
    </row>
    <row r="27" spans="1:19" x14ac:dyDescent="0.3">
      <c r="A27" s="16" t="s">
        <v>98</v>
      </c>
      <c r="B27" s="1" t="s">
        <v>62</v>
      </c>
      <c r="C27" s="1" t="s">
        <v>45</v>
      </c>
      <c r="D27" s="1" t="s">
        <v>21</v>
      </c>
      <c r="E27" s="1">
        <v>64</v>
      </c>
      <c r="F27" s="1">
        <v>4</v>
      </c>
      <c r="G27" s="1">
        <v>256</v>
      </c>
      <c r="H27" s="1" t="s">
        <v>31</v>
      </c>
      <c r="I27" s="1" t="s">
        <v>19</v>
      </c>
      <c r="J27" s="1" t="s">
        <v>23</v>
      </c>
      <c r="K27" s="2">
        <v>45214</v>
      </c>
      <c r="L27" s="2">
        <v>45220</v>
      </c>
      <c r="M27" s="2"/>
      <c r="N27" t="str">
        <f t="shared" si="0"/>
        <v>NO</v>
      </c>
      <c r="O27" t="str" cm="1">
        <f t="array" ref="O27">_xlfn.XLOOKUP(C27,'Product Master'!$A$2:A$23,'Product Master'!$C$2:$C$23)</f>
        <v>Fashion</v>
      </c>
      <c r="P27">
        <f t="shared" si="1"/>
        <v>6</v>
      </c>
      <c r="Q27" t="str">
        <f>IFERROR(_xlfn.XLOOKUP(B27,'Customer Master'!$A$2:$A$50,'Customer Master'!$B$2:$B$50),"NOT FOUND")</f>
        <v>Hazel Brooks</v>
      </c>
      <c r="R27" t="str" cm="1">
        <f t="array" ref="R27">_xlfn.IFS(P27="NA","NA",P27&lt;=2,"Fast",P27&gt;2,"Slow")</f>
        <v>Slow</v>
      </c>
      <c r="S27" t="str">
        <f>_xlfn.XLOOKUP(C27,'Product Master'!$A$2:$A$23,'Product Master'!$B$2:$B$23)</f>
        <v>Backpack</v>
      </c>
    </row>
    <row r="28" spans="1:19" x14ac:dyDescent="0.3">
      <c r="A28" s="16" t="s">
        <v>99</v>
      </c>
      <c r="B28" s="1" t="s">
        <v>100</v>
      </c>
      <c r="C28" s="1" t="s">
        <v>42</v>
      </c>
      <c r="D28" s="1" t="s">
        <v>21</v>
      </c>
      <c r="E28" s="1">
        <v>70</v>
      </c>
      <c r="F28" s="1">
        <v>2</v>
      </c>
      <c r="G28" s="1">
        <v>140</v>
      </c>
      <c r="H28" s="1" t="s">
        <v>28</v>
      </c>
      <c r="I28" s="1" t="s">
        <v>22</v>
      </c>
      <c r="J28" s="1" t="s">
        <v>27</v>
      </c>
      <c r="K28" s="2">
        <v>44942</v>
      </c>
      <c r="L28" s="2"/>
      <c r="M28" s="2"/>
      <c r="N28" t="str">
        <f t="shared" si="0"/>
        <v>NO</v>
      </c>
      <c r="O28" t="str" cm="1">
        <f t="array" ref="O28">_xlfn.XLOOKUP(C28,'Product Master'!$A$2:A$23,'Product Master'!$C$2:$C$23)</f>
        <v>Books</v>
      </c>
      <c r="P28" t="str">
        <f t="shared" si="1"/>
        <v>NA</v>
      </c>
      <c r="Q28" t="str">
        <f>IFERROR(_xlfn.XLOOKUP(B28,'Customer Master'!$A$2:$A$50,'Customer Master'!$B$2:$B$50),"NOT FOUND")</f>
        <v>Grace Scott</v>
      </c>
      <c r="R28" t="str" cm="1">
        <f t="array" ref="R28">_xlfn.IFS(P28="NA","NA",P28&lt;=2,"Fast",P28&gt;2,"Slow")</f>
        <v>NA</v>
      </c>
      <c r="S28" t="str">
        <f>_xlfn.XLOOKUP(C28,'Product Master'!$A$2:$A$23,'Product Master'!$B$2:$B$23)</f>
        <v>Textbook</v>
      </c>
    </row>
    <row r="29" spans="1:19" x14ac:dyDescent="0.3">
      <c r="A29" s="16" t="s">
        <v>101</v>
      </c>
      <c r="B29" s="1" t="s">
        <v>100</v>
      </c>
      <c r="C29" s="1" t="s">
        <v>16</v>
      </c>
      <c r="D29" s="1" t="s">
        <v>30</v>
      </c>
      <c r="E29" s="1">
        <v>97</v>
      </c>
      <c r="F29" s="1">
        <v>3</v>
      </c>
      <c r="G29" s="1">
        <v>291</v>
      </c>
      <c r="H29" s="1" t="s">
        <v>18</v>
      </c>
      <c r="I29" s="1" t="s">
        <v>22</v>
      </c>
      <c r="J29" s="1" t="s">
        <v>27</v>
      </c>
      <c r="K29" s="2">
        <v>45208</v>
      </c>
      <c r="L29" s="2"/>
      <c r="M29" s="2"/>
      <c r="N29" t="str">
        <f t="shared" si="0"/>
        <v>NO</v>
      </c>
      <c r="O29" t="str" cm="1">
        <f t="array" ref="O29">_xlfn.XLOOKUP(C29,'Product Master'!$A$2:A$23,'Product Master'!$C$2:$C$23)</f>
        <v>Toys</v>
      </c>
      <c r="P29" t="str">
        <f t="shared" si="1"/>
        <v>NA</v>
      </c>
      <c r="Q29" t="str">
        <f>IFERROR(_xlfn.XLOOKUP(B29,'Customer Master'!$A$2:$A$50,'Customer Master'!$B$2:$B$50),"NOT FOUND")</f>
        <v>Grace Scott</v>
      </c>
      <c r="R29" t="str" cm="1">
        <f t="array" ref="R29">_xlfn.IFS(P29="NA","NA",P29&lt;=2,"Fast",P29&gt;2,"Slow")</f>
        <v>NA</v>
      </c>
      <c r="S29" t="str">
        <f>_xlfn.XLOOKUP(C29,'Product Master'!$A$2:$A$23,'Product Master'!$B$2:$B$23)</f>
        <v>Doll House</v>
      </c>
    </row>
    <row r="30" spans="1:19" x14ac:dyDescent="0.3">
      <c r="A30" s="16" t="s">
        <v>102</v>
      </c>
      <c r="B30" s="1" t="s">
        <v>103</v>
      </c>
      <c r="C30" s="1" t="s">
        <v>32</v>
      </c>
      <c r="D30" s="1" t="s">
        <v>17</v>
      </c>
      <c r="E30" s="1">
        <v>37</v>
      </c>
      <c r="F30" s="1">
        <v>3</v>
      </c>
      <c r="G30" s="1">
        <v>111</v>
      </c>
      <c r="H30" s="1" t="s">
        <v>13</v>
      </c>
      <c r="I30" s="1" t="s">
        <v>14</v>
      </c>
      <c r="J30" s="1" t="s">
        <v>15</v>
      </c>
      <c r="K30" s="2">
        <v>45206</v>
      </c>
      <c r="L30" s="2"/>
      <c r="M30" s="2">
        <v>45209</v>
      </c>
      <c r="N30" t="str">
        <f t="shared" si="0"/>
        <v>YES</v>
      </c>
      <c r="O30" t="str" cm="1">
        <f t="array" ref="O30">_xlfn.XLOOKUP(C30,'Product Master'!$A$2:A$23,'Product Master'!$C$2:$C$23)</f>
        <v>Home</v>
      </c>
      <c r="P30" t="str">
        <f t="shared" si="1"/>
        <v>NA</v>
      </c>
      <c r="Q30" t="str">
        <f>IFERROR(_xlfn.XLOOKUP(B30,'Customer Master'!$A$2:$A$50,'Customer Master'!$B$2:$B$50),"NOT FOUND")</f>
        <v>Liam Walker</v>
      </c>
      <c r="R30" t="str" cm="1">
        <f t="array" ref="R30">_xlfn.IFS(P30="NA","NA",P30&lt;=2,"Fast",P30&gt;2,"Slow")</f>
        <v>NA</v>
      </c>
      <c r="S30" t="str">
        <f>_xlfn.XLOOKUP(C30,'Product Master'!$A$2:$A$23,'Product Master'!$B$2:$B$23)</f>
        <v>Wall Clock</v>
      </c>
    </row>
    <row r="31" spans="1:19" x14ac:dyDescent="0.3">
      <c r="A31" s="16" t="s">
        <v>104</v>
      </c>
      <c r="B31" s="1" t="s">
        <v>105</v>
      </c>
      <c r="C31" s="1" t="s">
        <v>42</v>
      </c>
      <c r="D31" s="1" t="s">
        <v>12</v>
      </c>
      <c r="E31" s="1">
        <v>69</v>
      </c>
      <c r="F31" s="1">
        <v>5</v>
      </c>
      <c r="G31" s="1">
        <v>345</v>
      </c>
      <c r="H31" s="1" t="s">
        <v>28</v>
      </c>
      <c r="I31" s="1" t="s">
        <v>22</v>
      </c>
      <c r="J31" s="1" t="s">
        <v>27</v>
      </c>
      <c r="K31" s="2">
        <v>44971</v>
      </c>
      <c r="L31" s="2"/>
      <c r="M31" s="2"/>
      <c r="N31" t="str">
        <f t="shared" si="0"/>
        <v>NO</v>
      </c>
      <c r="O31" t="str" cm="1">
        <f t="array" ref="O31">_xlfn.XLOOKUP(C31,'Product Master'!$A$2:A$23,'Product Master'!$C$2:$C$23)</f>
        <v>Books</v>
      </c>
      <c r="P31" t="str">
        <f t="shared" si="1"/>
        <v>NA</v>
      </c>
      <c r="Q31" t="str">
        <f>IFERROR(_xlfn.XLOOKUP(B31,'Customer Master'!$A$2:$A$50,'Customer Master'!$B$2:$B$50),"NOT FOUND")</f>
        <v>Harper Young</v>
      </c>
      <c r="R31" t="str" cm="1">
        <f t="array" ref="R31">_xlfn.IFS(P31="NA","NA",P31&lt;=2,"Fast",P31&gt;2,"Slow")</f>
        <v>NA</v>
      </c>
      <c r="S31" t="str">
        <f>_xlfn.XLOOKUP(C31,'Product Master'!$A$2:$A$23,'Product Master'!$B$2:$B$23)</f>
        <v>Textbook</v>
      </c>
    </row>
    <row r="32" spans="1:19" x14ac:dyDescent="0.3">
      <c r="A32" s="16" t="s">
        <v>106</v>
      </c>
      <c r="B32" s="1" t="s">
        <v>107</v>
      </c>
      <c r="C32" s="1" t="s">
        <v>44</v>
      </c>
      <c r="D32" s="1" t="s">
        <v>12</v>
      </c>
      <c r="E32" s="1">
        <v>42</v>
      </c>
      <c r="F32" s="1">
        <v>5</v>
      </c>
      <c r="G32" s="1">
        <v>210</v>
      </c>
      <c r="H32" s="1" t="s">
        <v>28</v>
      </c>
      <c r="I32" s="1" t="s">
        <v>22</v>
      </c>
      <c r="J32" s="1" t="s">
        <v>25</v>
      </c>
      <c r="K32" s="2">
        <v>45011</v>
      </c>
      <c r="L32" s="2"/>
      <c r="M32" s="2"/>
      <c r="N32" t="str">
        <f t="shared" si="0"/>
        <v>NO</v>
      </c>
      <c r="O32" t="str" cm="1">
        <f t="array" ref="O32">_xlfn.XLOOKUP(C32,'Product Master'!$A$2:A$23,'Product Master'!$C$2:$C$23)</f>
        <v>Toys</v>
      </c>
      <c r="P32" t="str">
        <f t="shared" si="1"/>
        <v>NA</v>
      </c>
      <c r="Q32" t="str">
        <f>IFERROR(_xlfn.XLOOKUP(B32,'Customer Master'!$A$2:$A$50,'Customer Master'!$B$2:$B$50),"NOT FOUND")</f>
        <v>Harper Young</v>
      </c>
      <c r="R32" t="str" cm="1">
        <f t="array" ref="R32">_xlfn.IFS(P32="NA","NA",P32&lt;=2,"Fast",P32&gt;2,"Slow")</f>
        <v>NA</v>
      </c>
      <c r="S32" t="str">
        <f>_xlfn.XLOOKUP(C32,'Product Master'!$A$2:$A$23,'Product Master'!$B$2:$B$23)</f>
        <v>Action Figure</v>
      </c>
    </row>
    <row r="33" spans="1:19" x14ac:dyDescent="0.3">
      <c r="A33" s="16" t="s">
        <v>108</v>
      </c>
      <c r="B33" s="1" t="s">
        <v>109</v>
      </c>
      <c r="C33" s="1" t="s">
        <v>46</v>
      </c>
      <c r="D33" s="1" t="s">
        <v>17</v>
      </c>
      <c r="E33" s="1">
        <v>11</v>
      </c>
      <c r="F33" s="1">
        <v>5</v>
      </c>
      <c r="G33" s="1">
        <v>55</v>
      </c>
      <c r="H33" s="1" t="s">
        <v>31</v>
      </c>
      <c r="I33" s="1" t="s">
        <v>14</v>
      </c>
      <c r="J33" s="1" t="s">
        <v>37</v>
      </c>
      <c r="K33" s="2">
        <v>45092</v>
      </c>
      <c r="L33" s="2"/>
      <c r="M33" s="2">
        <v>45099</v>
      </c>
      <c r="N33" t="str">
        <f t="shared" si="0"/>
        <v>YES</v>
      </c>
      <c r="O33" t="str" cm="1">
        <f t="array" ref="O33">_xlfn.XLOOKUP(C33,'Product Master'!$A$2:A$23,'Product Master'!$C$2:$C$23)</f>
        <v>Books</v>
      </c>
      <c r="P33" t="str">
        <f t="shared" si="1"/>
        <v>NA</v>
      </c>
      <c r="Q33" t="str">
        <f>IFERROR(_xlfn.XLOOKUP(B33,'Customer Master'!$A$2:$A$50,'Customer Master'!$B$2:$B$50),"NOT FOUND")</f>
        <v>Emily Johnson</v>
      </c>
      <c r="R33" t="str" cm="1">
        <f t="array" ref="R33">_xlfn.IFS(P33="NA","NA",P33&lt;=2,"Fast",P33&gt;2,"Slow")</f>
        <v>NA</v>
      </c>
      <c r="S33" t="str">
        <f>_xlfn.XLOOKUP(C33,'Product Master'!$A$2:$A$23,'Product Master'!$B$2:$B$23)</f>
        <v>Magazine</v>
      </c>
    </row>
    <row r="34" spans="1:19" x14ac:dyDescent="0.3">
      <c r="A34" s="16" t="s">
        <v>110</v>
      </c>
      <c r="B34" s="1" t="s">
        <v>93</v>
      </c>
      <c r="C34" s="1" t="s">
        <v>40</v>
      </c>
      <c r="D34" s="1" t="s">
        <v>21</v>
      </c>
      <c r="E34" s="1">
        <v>27</v>
      </c>
      <c r="F34" s="1">
        <v>2</v>
      </c>
      <c r="G34" s="1">
        <v>54</v>
      </c>
      <c r="H34" s="1" t="s">
        <v>13</v>
      </c>
      <c r="I34" s="1" t="s">
        <v>19</v>
      </c>
      <c r="J34" s="1" t="s">
        <v>23</v>
      </c>
      <c r="K34" s="2">
        <v>45068</v>
      </c>
      <c r="L34" s="2">
        <v>45069</v>
      </c>
      <c r="M34" s="2"/>
      <c r="N34" t="str">
        <f t="shared" ref="N34:N65" si="2">IF(OR(I34="cancelled",M34&lt;&gt;""),"YES","NO")</f>
        <v>NO</v>
      </c>
      <c r="O34" t="str" cm="1">
        <f t="array" ref="O34">_xlfn.XLOOKUP(C34,'Product Master'!$A$2:A$23,'Product Master'!$C$2:$C$23)</f>
        <v>Fashion</v>
      </c>
      <c r="P34">
        <f t="shared" si="1"/>
        <v>1</v>
      </c>
      <c r="Q34" t="str">
        <f>IFERROR(_xlfn.XLOOKUP(B34,'Customer Master'!$A$2:$A$50,'Customer Master'!$B$2:$B$50),"NOT FOUND")</f>
        <v>Elijah Lewis</v>
      </c>
      <c r="R34" t="str" cm="1">
        <f t="array" ref="R34">_xlfn.IFS(P34="NA","NA",P34&lt;=2,"Fast",P34&gt;2,"Slow")</f>
        <v>Fast</v>
      </c>
      <c r="S34" t="str">
        <f>_xlfn.XLOOKUP(C34,'Product Master'!$A$2:$A$23,'Product Master'!$B$2:$B$23)</f>
        <v>T-Shirt</v>
      </c>
    </row>
    <row r="35" spans="1:19" x14ac:dyDescent="0.3">
      <c r="A35" s="16" t="s">
        <v>111</v>
      </c>
      <c r="B35" s="1" t="s">
        <v>89</v>
      </c>
      <c r="C35" s="1" t="s">
        <v>41</v>
      </c>
      <c r="D35" s="1" t="s">
        <v>21</v>
      </c>
      <c r="E35" s="1">
        <v>21</v>
      </c>
      <c r="F35" s="1">
        <v>1</v>
      </c>
      <c r="G35" s="1">
        <v>21</v>
      </c>
      <c r="H35" s="1" t="s">
        <v>28</v>
      </c>
      <c r="I35" s="1" t="s">
        <v>22</v>
      </c>
      <c r="J35" s="1" t="s">
        <v>15</v>
      </c>
      <c r="K35" s="2">
        <v>45250</v>
      </c>
      <c r="L35" s="2"/>
      <c r="M35" s="2"/>
      <c r="N35" t="str">
        <f t="shared" si="2"/>
        <v>NO</v>
      </c>
      <c r="O35" t="str" cm="1">
        <f t="array" ref="O35">_xlfn.XLOOKUP(C35,'Product Master'!$A$2:A$23,'Product Master'!$C$2:$C$23)</f>
        <v>Books</v>
      </c>
      <c r="P35" t="str">
        <f t="shared" si="1"/>
        <v>NA</v>
      </c>
      <c r="Q35" t="str">
        <f>IFERROR(_xlfn.XLOOKUP(B35,'Customer Master'!$A$2:$A$50,'Customer Master'!$B$2:$B$50),"NOT FOUND")</f>
        <v>Emma King</v>
      </c>
      <c r="R35" t="str" cm="1">
        <f t="array" ref="R35">_xlfn.IFS(P35="NA","NA",P35&lt;=2,"Fast",P35&gt;2,"Slow")</f>
        <v>NA</v>
      </c>
      <c r="S35" t="str">
        <f>_xlfn.XLOOKUP(C35,'Product Master'!$A$2:$A$23,'Product Master'!$B$2:$B$23)</f>
        <v>Novel</v>
      </c>
    </row>
    <row r="36" spans="1:19" x14ac:dyDescent="0.3">
      <c r="A36" s="16" t="s">
        <v>112</v>
      </c>
      <c r="B36" s="1" t="s">
        <v>113</v>
      </c>
      <c r="C36" s="1" t="s">
        <v>47</v>
      </c>
      <c r="D36" s="1" t="s">
        <v>21</v>
      </c>
      <c r="E36" s="1">
        <v>172</v>
      </c>
      <c r="F36" s="1">
        <v>1</v>
      </c>
      <c r="G36" s="1">
        <v>172</v>
      </c>
      <c r="H36" s="1" t="s">
        <v>24</v>
      </c>
      <c r="I36" s="1" t="s">
        <v>19</v>
      </c>
      <c r="J36" s="1" t="s">
        <v>23</v>
      </c>
      <c r="K36" s="2">
        <v>45282</v>
      </c>
      <c r="L36" s="2">
        <v>45286</v>
      </c>
      <c r="M36" s="2"/>
      <c r="N36" t="str">
        <f t="shared" si="2"/>
        <v>NO</v>
      </c>
      <c r="O36" t="str" cm="1">
        <f t="array" ref="O36">_xlfn.XLOOKUP(C36,'Product Master'!$A$2:A$23,'Product Master'!$C$2:$C$23)</f>
        <v>Electronics</v>
      </c>
      <c r="P36">
        <f t="shared" si="1"/>
        <v>4</v>
      </c>
      <c r="Q36" t="str">
        <f>IFERROR(_xlfn.XLOOKUP(B36,'Customer Master'!$A$2:$A$50,'Customer Master'!$B$2:$B$50),"NOT FOUND")</f>
        <v>Luke Gray</v>
      </c>
      <c r="R36" t="str" cm="1">
        <f t="array" ref="R36">_xlfn.IFS(P36="NA","NA",P36&lt;=2,"Fast",P36&gt;2,"Slow")</f>
        <v>Slow</v>
      </c>
      <c r="S36" t="str">
        <f>_xlfn.XLOOKUP(C36,'Product Master'!$A$2:$A$23,'Product Master'!$B$2:$B$23)</f>
        <v>Headphones</v>
      </c>
    </row>
    <row r="37" spans="1:19" x14ac:dyDescent="0.3">
      <c r="A37" s="16" t="s">
        <v>114</v>
      </c>
      <c r="B37" s="1" t="s">
        <v>107</v>
      </c>
      <c r="C37" s="1" t="s">
        <v>48</v>
      </c>
      <c r="D37" s="1" t="s">
        <v>12</v>
      </c>
      <c r="E37" s="1">
        <v>212</v>
      </c>
      <c r="F37" s="1">
        <v>3</v>
      </c>
      <c r="G37" s="1">
        <v>636</v>
      </c>
      <c r="H37" s="1" t="s">
        <v>28</v>
      </c>
      <c r="I37" s="1" t="s">
        <v>22</v>
      </c>
      <c r="J37" s="1" t="s">
        <v>25</v>
      </c>
      <c r="K37" s="2">
        <v>45130</v>
      </c>
      <c r="L37" s="2"/>
      <c r="M37" s="2"/>
      <c r="N37" t="str">
        <f t="shared" si="2"/>
        <v>NO</v>
      </c>
      <c r="O37" t="str" cm="1">
        <f t="array" ref="O37">_xlfn.XLOOKUP(C37,'Product Master'!$A$2:A$23,'Product Master'!$C$2:$C$23)</f>
        <v>Home</v>
      </c>
      <c r="P37" t="str">
        <f t="shared" si="1"/>
        <v>NA</v>
      </c>
      <c r="Q37" t="str">
        <f>IFERROR(_xlfn.XLOOKUP(B37,'Customer Master'!$A$2:$A$50,'Customer Master'!$B$2:$B$50),"NOT FOUND")</f>
        <v>Harper Young</v>
      </c>
      <c r="R37" t="str" cm="1">
        <f t="array" ref="R37">_xlfn.IFS(P37="NA","NA",P37&lt;=2,"Fast",P37&gt;2,"Slow")</f>
        <v>NA</v>
      </c>
      <c r="S37" t="str">
        <f>_xlfn.XLOOKUP(C37,'Product Master'!$A$2:$A$23,'Product Master'!$B$2:$B$23)</f>
        <v>Cookware Set Pro</v>
      </c>
    </row>
    <row r="38" spans="1:19" x14ac:dyDescent="0.3">
      <c r="A38" s="16" t="s">
        <v>115</v>
      </c>
      <c r="B38" s="1" t="s">
        <v>60</v>
      </c>
      <c r="C38" s="1" t="s">
        <v>44</v>
      </c>
      <c r="D38" s="1" t="s">
        <v>17</v>
      </c>
      <c r="E38" s="1">
        <v>41</v>
      </c>
      <c r="F38" s="1">
        <v>4</v>
      </c>
      <c r="G38" s="1">
        <v>164</v>
      </c>
      <c r="H38" s="1" t="s">
        <v>18</v>
      </c>
      <c r="I38" s="1" t="s">
        <v>19</v>
      </c>
      <c r="J38" s="1" t="s">
        <v>27</v>
      </c>
      <c r="K38" s="2">
        <v>45216</v>
      </c>
      <c r="L38" s="2">
        <v>45221</v>
      </c>
      <c r="M38" s="2"/>
      <c r="N38" t="str">
        <f t="shared" si="2"/>
        <v>NO</v>
      </c>
      <c r="O38" t="str" cm="1">
        <f t="array" ref="O38">_xlfn.XLOOKUP(C38,'Product Master'!$A$2:A$23,'Product Master'!$C$2:$C$23)</f>
        <v>Toys</v>
      </c>
      <c r="P38">
        <f t="shared" si="1"/>
        <v>5</v>
      </c>
      <c r="Q38" t="str">
        <f>IFERROR(_xlfn.XLOOKUP(B38,'Customer Master'!$A$2:$A$50,'Customer Master'!$B$2:$B$50),"NOT FOUND")</f>
        <v>Grace Ward</v>
      </c>
      <c r="R38" t="str" cm="1">
        <f t="array" ref="R38">_xlfn.IFS(P38="NA","NA",P38&lt;=2,"Fast",P38&gt;2,"Slow")</f>
        <v>Slow</v>
      </c>
      <c r="S38" t="str">
        <f>_xlfn.XLOOKUP(C38,'Product Master'!$A$2:$A$23,'Product Master'!$B$2:$B$23)</f>
        <v>Action Figure</v>
      </c>
    </row>
    <row r="39" spans="1:19" x14ac:dyDescent="0.3">
      <c r="A39" s="16" t="s">
        <v>116</v>
      </c>
      <c r="B39" s="1" t="s">
        <v>95</v>
      </c>
      <c r="C39" s="1" t="s">
        <v>49</v>
      </c>
      <c r="D39" s="1" t="s">
        <v>12</v>
      </c>
      <c r="E39" s="1">
        <v>32</v>
      </c>
      <c r="F39" s="1">
        <v>2</v>
      </c>
      <c r="G39" s="1">
        <v>64</v>
      </c>
      <c r="H39" s="1" t="s">
        <v>31</v>
      </c>
      <c r="I39" s="1" t="s">
        <v>14</v>
      </c>
      <c r="J39" s="1" t="s">
        <v>37</v>
      </c>
      <c r="K39" s="2">
        <v>45160</v>
      </c>
      <c r="L39" s="2"/>
      <c r="M39" s="2">
        <v>45162</v>
      </c>
      <c r="N39" t="str">
        <f t="shared" si="2"/>
        <v>YES</v>
      </c>
      <c r="O39" t="str" cm="1">
        <f t="array" ref="O39">_xlfn.XLOOKUP(C39,'Product Master'!$A$2:A$23,'Product Master'!$C$2:$C$23)</f>
        <v>Toys</v>
      </c>
      <c r="P39" t="str">
        <f t="shared" si="1"/>
        <v>NA</v>
      </c>
      <c r="Q39" t="str">
        <f>IFERROR(_xlfn.XLOOKUP(B39,'Customer Master'!$A$2:$A$50,'Customer Master'!$B$2:$B$50),"NOT FOUND")</f>
        <v>Lily Bennett</v>
      </c>
      <c r="R39" t="str" cm="1">
        <f t="array" ref="R39">_xlfn.IFS(P39="NA","NA",P39&lt;=2,"Fast",P39&gt;2,"Slow")</f>
        <v>NA</v>
      </c>
      <c r="S39" t="str">
        <f>_xlfn.XLOOKUP(C39,'Product Master'!$A$2:$A$23,'Product Master'!$B$2:$B$23)</f>
        <v>Puzzle</v>
      </c>
    </row>
    <row r="40" spans="1:19" x14ac:dyDescent="0.3">
      <c r="A40" s="16" t="s">
        <v>117</v>
      </c>
      <c r="B40" s="1" t="s">
        <v>118</v>
      </c>
      <c r="C40" s="1" t="s">
        <v>45</v>
      </c>
      <c r="D40" s="1" t="s">
        <v>17</v>
      </c>
      <c r="E40" s="1">
        <v>66</v>
      </c>
      <c r="F40" s="1">
        <v>2</v>
      </c>
      <c r="G40" s="1">
        <v>132</v>
      </c>
      <c r="H40" s="1" t="s">
        <v>13</v>
      </c>
      <c r="I40" s="1" t="s">
        <v>22</v>
      </c>
      <c r="J40" s="1" t="s">
        <v>15</v>
      </c>
      <c r="K40" s="2">
        <v>45262</v>
      </c>
      <c r="L40" s="2"/>
      <c r="M40" s="2"/>
      <c r="N40" t="str">
        <f t="shared" si="2"/>
        <v>NO</v>
      </c>
      <c r="O40" t="str" cm="1">
        <f t="array" ref="O40">_xlfn.XLOOKUP(C40,'Product Master'!$A$2:A$23,'Product Master'!$C$2:$C$23)</f>
        <v>Fashion</v>
      </c>
      <c r="P40" t="str">
        <f t="shared" si="1"/>
        <v>NA</v>
      </c>
      <c r="Q40" t="str">
        <f>IFERROR(_xlfn.XLOOKUP(B40,'Customer Master'!$A$2:$A$50,'Customer Master'!$B$2:$B$50),"NOT FOUND")</f>
        <v>Scarlett Murphy</v>
      </c>
      <c r="R40" t="str" cm="1">
        <f t="array" ref="R40">_xlfn.IFS(P40="NA","NA",P40&lt;=2,"Fast",P40&gt;2,"Slow")</f>
        <v>NA</v>
      </c>
      <c r="S40" t="str">
        <f>_xlfn.XLOOKUP(C40,'Product Master'!$A$2:$A$23,'Product Master'!$B$2:$B$23)</f>
        <v>Backpack</v>
      </c>
    </row>
    <row r="41" spans="1:19" x14ac:dyDescent="0.3">
      <c r="A41" s="16" t="s">
        <v>119</v>
      </c>
      <c r="B41" s="1" t="s">
        <v>120</v>
      </c>
      <c r="C41" s="1" t="s">
        <v>50</v>
      </c>
      <c r="D41" s="1" t="s">
        <v>17</v>
      </c>
      <c r="E41" s="1">
        <v>62</v>
      </c>
      <c r="F41" s="1">
        <v>4</v>
      </c>
      <c r="G41" s="1">
        <v>248</v>
      </c>
      <c r="H41" s="1" t="s">
        <v>31</v>
      </c>
      <c r="I41" s="1" t="s">
        <v>22</v>
      </c>
      <c r="J41" s="1" t="s">
        <v>25</v>
      </c>
      <c r="K41" s="2">
        <v>45285</v>
      </c>
      <c r="L41" s="2"/>
      <c r="M41" s="2"/>
      <c r="N41" t="str">
        <f t="shared" si="2"/>
        <v>NO</v>
      </c>
      <c r="O41" t="str" cm="1">
        <f t="array" ref="O41">_xlfn.XLOOKUP(C41,'Product Master'!$A$2:A$23,'Product Master'!$C$2:$C$23)</f>
        <v>Toys</v>
      </c>
      <c r="P41" t="str">
        <f t="shared" si="1"/>
        <v>NA</v>
      </c>
      <c r="Q41" t="str">
        <f>IFERROR(_xlfn.XLOOKUP(B41,'Customer Master'!$A$2:$A$50,'Customer Master'!$B$2:$B$50),"NOT FOUND")</f>
        <v>Ava Robinson</v>
      </c>
      <c r="R41" t="str" cm="1">
        <f t="array" ref="R41">_xlfn.IFS(P41="NA","NA",P41&lt;=2,"Fast",P41&gt;2,"Slow")</f>
        <v>NA</v>
      </c>
      <c r="S41" t="str">
        <f>_xlfn.XLOOKUP(C41,'Product Master'!$A$2:$A$23,'Product Master'!$B$2:$B$23)</f>
        <v>Leg Set</v>
      </c>
    </row>
    <row r="42" spans="1:19" x14ac:dyDescent="0.3">
      <c r="A42" s="16" t="s">
        <v>121</v>
      </c>
      <c r="B42" s="1" t="s">
        <v>122</v>
      </c>
      <c r="C42" s="1" t="s">
        <v>47</v>
      </c>
      <c r="D42" s="1" t="s">
        <v>33</v>
      </c>
      <c r="E42" s="1">
        <v>173</v>
      </c>
      <c r="F42" s="1">
        <v>4</v>
      </c>
      <c r="G42" s="1">
        <v>692</v>
      </c>
      <c r="H42" s="1" t="s">
        <v>13</v>
      </c>
      <c r="I42" s="1" t="s">
        <v>19</v>
      </c>
      <c r="J42" s="1" t="s">
        <v>25</v>
      </c>
      <c r="K42" s="2">
        <v>45192</v>
      </c>
      <c r="L42" s="2">
        <v>45199</v>
      </c>
      <c r="M42" s="2"/>
      <c r="N42" t="str">
        <f t="shared" si="2"/>
        <v>NO</v>
      </c>
      <c r="O42" t="str" cm="1">
        <f t="array" ref="O42">_xlfn.XLOOKUP(C42,'Product Master'!$A$2:A$23,'Product Master'!$C$2:$C$23)</f>
        <v>Electronics</v>
      </c>
      <c r="P42">
        <f t="shared" si="1"/>
        <v>7</v>
      </c>
      <c r="Q42" t="str">
        <f>IFERROR(_xlfn.XLOOKUP(B42,'Customer Master'!$A$2:$A$50,'Customer Master'!$B$2:$B$50),"NOT FOUND")</f>
        <v>James Miller</v>
      </c>
      <c r="R42" t="str" cm="1">
        <f t="array" ref="R42">_xlfn.IFS(P42="NA","NA",P42&lt;=2,"Fast",P42&gt;2,"Slow")</f>
        <v>Slow</v>
      </c>
      <c r="S42" t="str">
        <f>_xlfn.XLOOKUP(C42,'Product Master'!$A$2:$A$23,'Product Master'!$B$2:$B$23)</f>
        <v>Headphones</v>
      </c>
    </row>
    <row r="43" spans="1:19" x14ac:dyDescent="0.3">
      <c r="A43" s="16" t="s">
        <v>123</v>
      </c>
      <c r="B43" s="1" t="s">
        <v>103</v>
      </c>
      <c r="C43" s="1" t="s">
        <v>50</v>
      </c>
      <c r="D43" s="1" t="s">
        <v>33</v>
      </c>
      <c r="E43" s="1">
        <v>63</v>
      </c>
      <c r="F43" s="1">
        <v>3</v>
      </c>
      <c r="G43" s="1">
        <v>189</v>
      </c>
      <c r="H43" s="1" t="s">
        <v>13</v>
      </c>
      <c r="I43" s="1" t="s">
        <v>19</v>
      </c>
      <c r="J43" s="1" t="s">
        <v>25</v>
      </c>
      <c r="K43" s="2">
        <v>45123</v>
      </c>
      <c r="L43" s="2">
        <v>45125</v>
      </c>
      <c r="M43" s="2"/>
      <c r="N43" t="str">
        <f t="shared" si="2"/>
        <v>NO</v>
      </c>
      <c r="O43" t="str" cm="1">
        <f t="array" ref="O43">_xlfn.XLOOKUP(C43,'Product Master'!$A$2:A$23,'Product Master'!$C$2:$C$23)</f>
        <v>Toys</v>
      </c>
      <c r="P43">
        <f t="shared" si="1"/>
        <v>2</v>
      </c>
      <c r="Q43" t="str">
        <f>IFERROR(_xlfn.XLOOKUP(B43,'Customer Master'!$A$2:$A$50,'Customer Master'!$B$2:$B$50),"NOT FOUND")</f>
        <v>Liam Walker</v>
      </c>
      <c r="R43" t="str" cm="1">
        <f t="array" ref="R43">_xlfn.IFS(P43="NA","NA",P43&lt;=2,"Fast",P43&gt;2,"Slow")</f>
        <v>Fast</v>
      </c>
      <c r="S43" t="str">
        <f>_xlfn.XLOOKUP(C43,'Product Master'!$A$2:$A$23,'Product Master'!$B$2:$B$23)</f>
        <v>Leg Set</v>
      </c>
    </row>
    <row r="44" spans="1:19" x14ac:dyDescent="0.3">
      <c r="A44" s="16" t="s">
        <v>124</v>
      </c>
      <c r="B44" s="1" t="s">
        <v>97</v>
      </c>
      <c r="C44" s="1" t="s">
        <v>32</v>
      </c>
      <c r="D44" s="1" t="s">
        <v>33</v>
      </c>
      <c r="E44" s="1">
        <v>36</v>
      </c>
      <c r="F44" s="1">
        <v>3</v>
      </c>
      <c r="G44" s="1">
        <v>108</v>
      </c>
      <c r="H44" s="1" t="s">
        <v>31</v>
      </c>
      <c r="I44" s="1" t="s">
        <v>14</v>
      </c>
      <c r="J44" s="1" t="s">
        <v>23</v>
      </c>
      <c r="K44" s="2">
        <v>44962</v>
      </c>
      <c r="L44" s="2"/>
      <c r="M44" s="2">
        <v>44968</v>
      </c>
      <c r="N44" t="str">
        <f t="shared" si="2"/>
        <v>YES</v>
      </c>
      <c r="O44" t="str" cm="1">
        <f t="array" ref="O44">_xlfn.XLOOKUP(C44,'Product Master'!$A$2:A$23,'Product Master'!$C$2:$C$23)</f>
        <v>Home</v>
      </c>
      <c r="P44" t="str">
        <f t="shared" si="1"/>
        <v>NA</v>
      </c>
      <c r="Q44" t="str">
        <f>IFERROR(_xlfn.XLOOKUP(B44,'Customer Master'!$A$2:$A$50,'Customer Master'!$B$2:$B$50),"NOT FOUND")</f>
        <v>Benjamin Clark</v>
      </c>
      <c r="R44" t="str" cm="1">
        <f t="array" ref="R44">_xlfn.IFS(P44="NA","NA",P44&lt;=2,"Fast",P44&gt;2,"Slow")</f>
        <v>NA</v>
      </c>
      <c r="S44" t="str">
        <f>_xlfn.XLOOKUP(C44,'Product Master'!$A$2:$A$23,'Product Master'!$B$2:$B$23)</f>
        <v>Wall Clock</v>
      </c>
    </row>
    <row r="45" spans="1:19" x14ac:dyDescent="0.3">
      <c r="A45" s="16" t="s">
        <v>125</v>
      </c>
      <c r="B45" s="1" t="s">
        <v>120</v>
      </c>
      <c r="C45" s="1" t="s">
        <v>50</v>
      </c>
      <c r="D45" s="1" t="s">
        <v>30</v>
      </c>
      <c r="E45" s="1">
        <v>62</v>
      </c>
      <c r="F45" s="1">
        <v>1</v>
      </c>
      <c r="G45" s="1">
        <v>62</v>
      </c>
      <c r="H45" s="1" t="s">
        <v>13</v>
      </c>
      <c r="I45" s="1" t="s">
        <v>14</v>
      </c>
      <c r="J45" s="1" t="s">
        <v>27</v>
      </c>
      <c r="K45" s="2">
        <v>45278</v>
      </c>
      <c r="L45" s="2"/>
      <c r="M45" s="2">
        <v>45283</v>
      </c>
      <c r="N45" t="str">
        <f t="shared" si="2"/>
        <v>YES</v>
      </c>
      <c r="O45" t="str" cm="1">
        <f t="array" ref="O45">_xlfn.XLOOKUP(C45,'Product Master'!$A$2:A$23,'Product Master'!$C$2:$C$23)</f>
        <v>Toys</v>
      </c>
      <c r="P45" t="str">
        <f t="shared" si="1"/>
        <v>NA</v>
      </c>
      <c r="Q45" t="str">
        <f>IFERROR(_xlfn.XLOOKUP(B45,'Customer Master'!$A$2:$A$50,'Customer Master'!$B$2:$B$50),"NOT FOUND")</f>
        <v>Ava Robinson</v>
      </c>
      <c r="R45" t="str" cm="1">
        <f t="array" ref="R45">_xlfn.IFS(P45="NA","NA",P45&lt;=2,"Fast",P45&gt;2,"Slow")</f>
        <v>NA</v>
      </c>
      <c r="S45" t="str">
        <f>_xlfn.XLOOKUP(C45,'Product Master'!$A$2:$A$23,'Product Master'!$B$2:$B$23)</f>
        <v>Leg Set</v>
      </c>
    </row>
    <row r="46" spans="1:19" x14ac:dyDescent="0.3">
      <c r="A46" s="16" t="s">
        <v>126</v>
      </c>
      <c r="B46" s="1" t="s">
        <v>66</v>
      </c>
      <c r="C46" s="1" t="s">
        <v>35</v>
      </c>
      <c r="D46" s="1" t="s">
        <v>30</v>
      </c>
      <c r="E46" s="1">
        <v>137</v>
      </c>
      <c r="F46" s="1">
        <v>5</v>
      </c>
      <c r="G46" s="1">
        <v>685</v>
      </c>
      <c r="H46" s="1" t="s">
        <v>28</v>
      </c>
      <c r="I46" s="1" t="s">
        <v>14</v>
      </c>
      <c r="J46" s="1" t="s">
        <v>37</v>
      </c>
      <c r="K46" s="2">
        <v>45088</v>
      </c>
      <c r="L46" s="2"/>
      <c r="M46" s="2">
        <v>45091</v>
      </c>
      <c r="N46" t="str">
        <f t="shared" si="2"/>
        <v>YES</v>
      </c>
      <c r="O46" t="str" cm="1">
        <f t="array" ref="O46">_xlfn.XLOOKUP(C46,'Product Master'!$A$2:A$23,'Product Master'!$C$2:$C$23)</f>
        <v>Home</v>
      </c>
      <c r="P46" t="str">
        <f t="shared" si="1"/>
        <v>NA</v>
      </c>
      <c r="Q46" t="str">
        <f>IFERROR(_xlfn.XLOOKUP(B46,'Customer Master'!$A$2:$A$50,'Customer Master'!$B$2:$B$50),"NOT FOUND")</f>
        <v>Noah Wilson</v>
      </c>
      <c r="R46" t="str" cm="1">
        <f t="array" ref="R46">_xlfn.IFS(P46="NA","NA",P46&lt;=2,"Fast",P46&gt;2,"Slow")</f>
        <v>NA</v>
      </c>
      <c r="S46" t="str">
        <f>_xlfn.XLOOKUP(C46,'Product Master'!$A$2:$A$23,'Product Master'!$B$2:$B$23)</f>
        <v>Cookware Set</v>
      </c>
    </row>
    <row r="47" spans="1:19" x14ac:dyDescent="0.3">
      <c r="A47" s="16" t="s">
        <v>127</v>
      </c>
      <c r="B47" s="1" t="s">
        <v>128</v>
      </c>
      <c r="C47" s="1" t="s">
        <v>39</v>
      </c>
      <c r="D47" s="1" t="s">
        <v>12</v>
      </c>
      <c r="E47" s="1">
        <v>73</v>
      </c>
      <c r="F47" s="1">
        <v>4</v>
      </c>
      <c r="G47" s="1">
        <v>292</v>
      </c>
      <c r="H47" s="1" t="s">
        <v>18</v>
      </c>
      <c r="I47" s="1" t="s">
        <v>19</v>
      </c>
      <c r="J47" s="1" t="s">
        <v>27</v>
      </c>
      <c r="K47" s="2">
        <v>45264</v>
      </c>
      <c r="L47" s="2">
        <v>45268</v>
      </c>
      <c r="M47" s="2"/>
      <c r="N47" t="str">
        <f t="shared" si="2"/>
        <v>NO</v>
      </c>
      <c r="O47" t="str" cm="1">
        <f t="array" ref="O47">_xlfn.XLOOKUP(C47,'Product Master'!$A$2:A$23,'Product Master'!$C$2:$C$23)</f>
        <v>Electronics</v>
      </c>
      <c r="P47">
        <f t="shared" si="1"/>
        <v>4</v>
      </c>
      <c r="Q47" t="str">
        <f>IFERROR(_xlfn.XLOOKUP(B47,'Customer Master'!$A$2:$A$50,'Customer Master'!$B$2:$B$50),"NOT FOUND")</f>
        <v>Logan Ramirez</v>
      </c>
      <c r="R47" t="str" cm="1">
        <f t="array" ref="R47">_xlfn.IFS(P47="NA","NA",P47&lt;=2,"Fast",P47&gt;2,"Slow")</f>
        <v>Slow</v>
      </c>
      <c r="S47" t="str">
        <f>_xlfn.XLOOKUP(C47,'Product Master'!$A$2:$A$23,'Product Master'!$B$2:$B$23)</f>
        <v>Gaming Mouse</v>
      </c>
    </row>
    <row r="48" spans="1:19" x14ac:dyDescent="0.3">
      <c r="A48" s="16" t="s">
        <v>129</v>
      </c>
      <c r="B48" s="1" t="s">
        <v>87</v>
      </c>
      <c r="C48" s="1" t="s">
        <v>29</v>
      </c>
      <c r="D48" s="1" t="s">
        <v>12</v>
      </c>
      <c r="E48" s="1">
        <v>104</v>
      </c>
      <c r="F48" s="1">
        <v>1</v>
      </c>
      <c r="G48" s="1">
        <v>104</v>
      </c>
      <c r="H48" s="1" t="s">
        <v>24</v>
      </c>
      <c r="I48" s="1" t="s">
        <v>19</v>
      </c>
      <c r="J48" s="1" t="s">
        <v>27</v>
      </c>
      <c r="K48" s="2">
        <v>45124</v>
      </c>
      <c r="L48" s="2">
        <v>45126</v>
      </c>
      <c r="M48" s="2"/>
      <c r="N48" t="str">
        <f t="shared" si="2"/>
        <v>NO</v>
      </c>
      <c r="O48" t="str" cm="1">
        <f t="array" ref="O48">_xlfn.XLOOKUP(C48,'Product Master'!$A$2:A$23,'Product Master'!$C$2:$C$23)</f>
        <v>Electronics</v>
      </c>
      <c r="P48">
        <f t="shared" si="1"/>
        <v>2</v>
      </c>
      <c r="Q48" t="str">
        <f>IFERROR(_xlfn.XLOOKUP(B48,'Customer Master'!$A$2:$A$50,'Customer Master'!$B$2:$B$50),"NOT FOUND")</f>
        <v>Jacob Price</v>
      </c>
      <c r="R48" t="str" cm="1">
        <f t="array" ref="R48">_xlfn.IFS(P48="NA","NA",P48&lt;=2,"Fast",P48&gt;2,"Slow")</f>
        <v>Fast</v>
      </c>
      <c r="S48" t="str">
        <f>_xlfn.XLOOKUP(C48,'Product Master'!$A$2:$A$23,'Product Master'!$B$2:$B$23)</f>
        <v>Bluetooth Speaker</v>
      </c>
    </row>
    <row r="49" spans="1:19" x14ac:dyDescent="0.3">
      <c r="A49" s="16" t="s">
        <v>130</v>
      </c>
      <c r="B49" s="1" t="s">
        <v>60</v>
      </c>
      <c r="C49" s="1" t="s">
        <v>38</v>
      </c>
      <c r="D49" s="1" t="s">
        <v>17</v>
      </c>
      <c r="E49" s="1">
        <v>97</v>
      </c>
      <c r="F49" s="1">
        <v>1</v>
      </c>
      <c r="G49" s="1">
        <v>97</v>
      </c>
      <c r="H49" s="1" t="s">
        <v>28</v>
      </c>
      <c r="I49" s="1" t="s">
        <v>19</v>
      </c>
      <c r="J49" s="1" t="s">
        <v>37</v>
      </c>
      <c r="K49" s="2">
        <v>45218</v>
      </c>
      <c r="L49" s="2">
        <v>45223</v>
      </c>
      <c r="M49" s="2"/>
      <c r="N49" t="str">
        <f t="shared" si="2"/>
        <v>NO</v>
      </c>
      <c r="O49" t="str" cm="1">
        <f t="array" ref="O49">_xlfn.XLOOKUP(C49,'Product Master'!$A$2:A$23,'Product Master'!$C$2:$C$23)</f>
        <v>Fashion</v>
      </c>
      <c r="P49">
        <f t="shared" si="1"/>
        <v>5</v>
      </c>
      <c r="Q49" t="str">
        <f>IFERROR(_xlfn.XLOOKUP(B49,'Customer Master'!$A$2:$A$50,'Customer Master'!$B$2:$B$50),"NOT FOUND")</f>
        <v>Grace Ward</v>
      </c>
      <c r="R49" t="str" cm="1">
        <f t="array" ref="R49">_xlfn.IFS(P49="NA","NA",P49&lt;=2,"Fast",P49&gt;2,"Slow")</f>
        <v>Slow</v>
      </c>
      <c r="S49" t="str">
        <f>_xlfn.XLOOKUP(C49,'Product Master'!$A$2:$A$23,'Product Master'!$B$2:$B$23)</f>
        <v>Shoes</v>
      </c>
    </row>
    <row r="50" spans="1:19" x14ac:dyDescent="0.3">
      <c r="A50" s="16" t="s">
        <v>131</v>
      </c>
      <c r="B50" s="1" t="s">
        <v>132</v>
      </c>
      <c r="C50" s="1" t="s">
        <v>39</v>
      </c>
      <c r="D50" s="1" t="s">
        <v>21</v>
      </c>
      <c r="E50" s="1">
        <v>73</v>
      </c>
      <c r="F50" s="1">
        <v>5</v>
      </c>
      <c r="G50" s="1">
        <v>365</v>
      </c>
      <c r="H50" s="1" t="s">
        <v>13</v>
      </c>
      <c r="I50" s="1" t="s">
        <v>22</v>
      </c>
      <c r="J50" s="1" t="s">
        <v>27</v>
      </c>
      <c r="K50" s="2">
        <v>45061</v>
      </c>
      <c r="L50" s="2"/>
      <c r="M50" s="2"/>
      <c r="N50" t="str">
        <f t="shared" si="2"/>
        <v>NO</v>
      </c>
      <c r="O50" t="str" cm="1">
        <f t="array" ref="O50">_xlfn.XLOOKUP(C50,'Product Master'!$A$2:A$23,'Product Master'!$C$2:$C$23)</f>
        <v>Electronics</v>
      </c>
      <c r="P50" t="str">
        <f t="shared" si="1"/>
        <v>NA</v>
      </c>
      <c r="Q50" t="str">
        <f>IFERROR(_xlfn.XLOOKUP(B50,'Customer Master'!$A$2:$A$50,'Customer Master'!$B$2:$B$50),"NOT FOUND")</f>
        <v>Zoe Mitchell</v>
      </c>
      <c r="R50" t="str" cm="1">
        <f t="array" ref="R50">_xlfn.IFS(P50="NA","NA",P50&lt;=2,"Fast",P50&gt;2,"Slow")</f>
        <v>NA</v>
      </c>
      <c r="S50" t="str">
        <f>_xlfn.XLOOKUP(C50,'Product Master'!$A$2:$A$23,'Product Master'!$B$2:$B$23)</f>
        <v>Gaming Mouse</v>
      </c>
    </row>
    <row r="51" spans="1:19" x14ac:dyDescent="0.3">
      <c r="A51" s="16" t="s">
        <v>133</v>
      </c>
      <c r="B51" s="1" t="s">
        <v>97</v>
      </c>
      <c r="C51" s="1" t="s">
        <v>40</v>
      </c>
      <c r="D51" s="1" t="s">
        <v>17</v>
      </c>
      <c r="E51" s="1">
        <v>27</v>
      </c>
      <c r="F51" s="1">
        <v>3</v>
      </c>
      <c r="G51" s="1">
        <v>81</v>
      </c>
      <c r="H51" s="1" t="s">
        <v>28</v>
      </c>
      <c r="I51" s="1" t="s">
        <v>19</v>
      </c>
      <c r="J51" s="1" t="s">
        <v>25</v>
      </c>
      <c r="K51" s="2">
        <v>44969</v>
      </c>
      <c r="L51" s="2">
        <v>44976</v>
      </c>
      <c r="M51" s="2"/>
      <c r="N51" t="str">
        <f t="shared" si="2"/>
        <v>NO</v>
      </c>
      <c r="O51" t="str" cm="1">
        <f t="array" ref="O51">_xlfn.XLOOKUP(C51,'Product Master'!$A$2:A$23,'Product Master'!$C$2:$C$23)</f>
        <v>Fashion</v>
      </c>
      <c r="P51">
        <f t="shared" si="1"/>
        <v>7</v>
      </c>
      <c r="Q51" t="str">
        <f>IFERROR(_xlfn.XLOOKUP(B51,'Customer Master'!$A$2:$A$50,'Customer Master'!$B$2:$B$50),"NOT FOUND")</f>
        <v>Benjamin Clark</v>
      </c>
      <c r="R51" t="str" cm="1">
        <f t="array" ref="R51">_xlfn.IFS(P51="NA","NA",P51&lt;=2,"Fast",P51&gt;2,"Slow")</f>
        <v>Slow</v>
      </c>
      <c r="S51" t="str">
        <f>_xlfn.XLOOKUP(C51,'Product Master'!$A$2:$A$23,'Product Master'!$B$2:$B$23)</f>
        <v>T-Shirt</v>
      </c>
    </row>
    <row r="52" spans="1:19" x14ac:dyDescent="0.3">
      <c r="A52" s="16" t="s">
        <v>134</v>
      </c>
      <c r="B52" s="1" t="s">
        <v>87</v>
      </c>
      <c r="C52" s="1" t="s">
        <v>32</v>
      </c>
      <c r="D52" s="1" t="s">
        <v>12</v>
      </c>
      <c r="E52" s="1">
        <v>37</v>
      </c>
      <c r="F52" s="1">
        <v>1</v>
      </c>
      <c r="G52" s="1">
        <v>37</v>
      </c>
      <c r="H52" s="1" t="s">
        <v>13</v>
      </c>
      <c r="I52" s="1" t="s">
        <v>22</v>
      </c>
      <c r="J52" s="1" t="s">
        <v>25</v>
      </c>
      <c r="K52" s="2">
        <v>45201</v>
      </c>
      <c r="L52" s="2"/>
      <c r="M52" s="2"/>
      <c r="N52" t="str">
        <f t="shared" si="2"/>
        <v>NO</v>
      </c>
      <c r="O52" t="str" cm="1">
        <f t="array" ref="O52">_xlfn.XLOOKUP(C52,'Product Master'!$A$2:A$23,'Product Master'!$C$2:$C$23)</f>
        <v>Home</v>
      </c>
      <c r="P52" t="str">
        <f t="shared" si="1"/>
        <v>NA</v>
      </c>
      <c r="Q52" t="str">
        <f>IFERROR(_xlfn.XLOOKUP(B52,'Customer Master'!$A$2:$A$50,'Customer Master'!$B$2:$B$50),"NOT FOUND")</f>
        <v>Jacob Price</v>
      </c>
      <c r="R52" t="str" cm="1">
        <f t="array" ref="R52">_xlfn.IFS(P52="NA","NA",P52&lt;=2,"Fast",P52&gt;2,"Slow")</f>
        <v>NA</v>
      </c>
      <c r="S52" t="str">
        <f>_xlfn.XLOOKUP(C52,'Product Master'!$A$2:$A$23,'Product Master'!$B$2:$B$23)</f>
        <v>Wall Clock</v>
      </c>
    </row>
    <row r="53" spans="1:19" x14ac:dyDescent="0.3">
      <c r="A53" s="16" t="s">
        <v>135</v>
      </c>
      <c r="B53" s="1" t="s">
        <v>105</v>
      </c>
      <c r="C53" s="1" t="s">
        <v>41</v>
      </c>
      <c r="D53" s="1" t="s">
        <v>12</v>
      </c>
      <c r="E53" s="1">
        <v>22</v>
      </c>
      <c r="F53" s="1">
        <v>1</v>
      </c>
      <c r="G53" s="1">
        <v>22</v>
      </c>
      <c r="H53" s="1" t="s">
        <v>31</v>
      </c>
      <c r="I53" s="1" t="s">
        <v>19</v>
      </c>
      <c r="J53" s="1" t="s">
        <v>37</v>
      </c>
      <c r="K53" s="2">
        <v>44956</v>
      </c>
      <c r="L53" s="2">
        <v>44958</v>
      </c>
      <c r="M53" s="2"/>
      <c r="N53" t="str">
        <f t="shared" si="2"/>
        <v>NO</v>
      </c>
      <c r="O53" t="str" cm="1">
        <f t="array" ref="O53">_xlfn.XLOOKUP(C53,'Product Master'!$A$2:A$23,'Product Master'!$C$2:$C$23)</f>
        <v>Books</v>
      </c>
      <c r="P53">
        <f t="shared" si="1"/>
        <v>2</v>
      </c>
      <c r="Q53" t="str">
        <f>IFERROR(_xlfn.XLOOKUP(B53,'Customer Master'!$A$2:$A$50,'Customer Master'!$B$2:$B$50),"NOT FOUND")</f>
        <v>Harper Young</v>
      </c>
      <c r="R53" t="str" cm="1">
        <f t="array" ref="R53">_xlfn.IFS(P53="NA","NA",P53&lt;=2,"Fast",P53&gt;2,"Slow")</f>
        <v>Fast</v>
      </c>
      <c r="S53" t="str">
        <f>_xlfn.XLOOKUP(C53,'Product Master'!$A$2:$A$23,'Product Master'!$B$2:$B$23)</f>
        <v>Novel</v>
      </c>
    </row>
    <row r="54" spans="1:19" x14ac:dyDescent="0.3">
      <c r="A54" s="16" t="s">
        <v>136</v>
      </c>
      <c r="B54" s="1" t="s">
        <v>85</v>
      </c>
      <c r="C54" s="1" t="s">
        <v>48</v>
      </c>
      <c r="D54" s="1" t="s">
        <v>30</v>
      </c>
      <c r="E54" s="1">
        <v>218</v>
      </c>
      <c r="F54" s="1">
        <v>5</v>
      </c>
      <c r="G54" s="1">
        <v>1090</v>
      </c>
      <c r="H54" s="1" t="s">
        <v>24</v>
      </c>
      <c r="I54" s="1" t="s">
        <v>19</v>
      </c>
      <c r="J54" s="1" t="s">
        <v>15</v>
      </c>
      <c r="K54" s="2">
        <v>45289</v>
      </c>
      <c r="L54" s="2">
        <v>45292</v>
      </c>
      <c r="M54" s="2"/>
      <c r="N54" t="str">
        <f t="shared" si="2"/>
        <v>NO</v>
      </c>
      <c r="O54" t="str" cm="1">
        <f t="array" ref="O54">_xlfn.XLOOKUP(C54,'Product Master'!$A$2:A$23,'Product Master'!$C$2:$C$23)</f>
        <v>Home</v>
      </c>
      <c r="P54">
        <f t="shared" si="1"/>
        <v>3</v>
      </c>
      <c r="Q54" t="str">
        <f>IFERROR(_xlfn.XLOOKUP(B54,'Customer Master'!$A$2:$A$50,'Customer Master'!$B$2:$B$50),"NOT FOUND")</f>
        <v>Mason Hall</v>
      </c>
      <c r="R54" t="str" cm="1">
        <f t="array" ref="R54">_xlfn.IFS(P54="NA","NA",P54&lt;=2,"Fast",P54&gt;2,"Slow")</f>
        <v>Slow</v>
      </c>
      <c r="S54" t="str">
        <f>_xlfn.XLOOKUP(C54,'Product Master'!$A$2:$A$23,'Product Master'!$B$2:$B$23)</f>
        <v>Cookware Set Pro</v>
      </c>
    </row>
    <row r="55" spans="1:19" x14ac:dyDescent="0.3">
      <c r="A55" s="16" t="s">
        <v>137</v>
      </c>
      <c r="B55" s="1" t="s">
        <v>100</v>
      </c>
      <c r="C55" s="1" t="s">
        <v>50</v>
      </c>
      <c r="D55" s="1" t="s">
        <v>12</v>
      </c>
      <c r="E55" s="1">
        <v>64</v>
      </c>
      <c r="F55" s="1">
        <v>1</v>
      </c>
      <c r="G55" s="1">
        <v>64</v>
      </c>
      <c r="H55" s="1" t="s">
        <v>13</v>
      </c>
      <c r="I55" s="1" t="s">
        <v>14</v>
      </c>
      <c r="J55" s="1" t="s">
        <v>23</v>
      </c>
      <c r="K55" s="2">
        <v>44991</v>
      </c>
      <c r="L55" s="2"/>
      <c r="M55" s="2">
        <v>44998</v>
      </c>
      <c r="N55" t="str">
        <f t="shared" si="2"/>
        <v>YES</v>
      </c>
      <c r="O55" t="str" cm="1">
        <f t="array" ref="O55">_xlfn.XLOOKUP(C55,'Product Master'!$A$2:A$23,'Product Master'!$C$2:$C$23)</f>
        <v>Toys</v>
      </c>
      <c r="P55" t="str">
        <f t="shared" si="1"/>
        <v>NA</v>
      </c>
      <c r="Q55" t="str">
        <f>IFERROR(_xlfn.XLOOKUP(B55,'Customer Master'!$A$2:$A$50,'Customer Master'!$B$2:$B$50),"NOT FOUND")</f>
        <v>Grace Scott</v>
      </c>
      <c r="R55" t="str" cm="1">
        <f t="array" ref="R55">_xlfn.IFS(P55="NA","NA",P55&lt;=2,"Fast",P55&gt;2,"Slow")</f>
        <v>NA</v>
      </c>
      <c r="S55" t="str">
        <f>_xlfn.XLOOKUP(C55,'Product Master'!$A$2:$A$23,'Product Master'!$B$2:$B$23)</f>
        <v>Leg Set</v>
      </c>
    </row>
    <row r="56" spans="1:19" x14ac:dyDescent="0.3">
      <c r="A56" s="16" t="s">
        <v>138</v>
      </c>
      <c r="B56" s="1" t="s">
        <v>109</v>
      </c>
      <c r="C56" s="1" t="s">
        <v>32</v>
      </c>
      <c r="D56" s="1" t="s">
        <v>30</v>
      </c>
      <c r="E56" s="1">
        <v>36</v>
      </c>
      <c r="F56" s="1">
        <v>4</v>
      </c>
      <c r="G56" s="1">
        <v>144</v>
      </c>
      <c r="H56" s="1" t="s">
        <v>24</v>
      </c>
      <c r="I56" s="1" t="s">
        <v>19</v>
      </c>
      <c r="J56" s="1" t="s">
        <v>27</v>
      </c>
      <c r="K56" s="2">
        <v>44959</v>
      </c>
      <c r="L56" s="2">
        <v>44963</v>
      </c>
      <c r="M56" s="2"/>
      <c r="N56" t="str">
        <f t="shared" si="2"/>
        <v>NO</v>
      </c>
      <c r="O56" t="str" cm="1">
        <f t="array" ref="O56">_xlfn.XLOOKUP(C56,'Product Master'!$A$2:A$23,'Product Master'!$C$2:$C$23)</f>
        <v>Home</v>
      </c>
      <c r="P56">
        <f t="shared" si="1"/>
        <v>4</v>
      </c>
      <c r="Q56" t="str">
        <f>IFERROR(_xlfn.XLOOKUP(B56,'Customer Master'!$A$2:$A$50,'Customer Master'!$B$2:$B$50),"NOT FOUND")</f>
        <v>Emily Johnson</v>
      </c>
      <c r="R56" t="str" cm="1">
        <f t="array" ref="R56">_xlfn.IFS(P56="NA","NA",P56&lt;=2,"Fast",P56&gt;2,"Slow")</f>
        <v>Slow</v>
      </c>
      <c r="S56" t="str">
        <f>_xlfn.XLOOKUP(C56,'Product Master'!$A$2:$A$23,'Product Master'!$B$2:$B$23)</f>
        <v>Wall Clock</v>
      </c>
    </row>
    <row r="57" spans="1:19" x14ac:dyDescent="0.3">
      <c r="A57" s="16" t="s">
        <v>139</v>
      </c>
      <c r="B57" s="1" t="s">
        <v>140</v>
      </c>
      <c r="C57" s="1" t="s">
        <v>50</v>
      </c>
      <c r="D57" s="1" t="s">
        <v>33</v>
      </c>
      <c r="E57" s="1">
        <v>65</v>
      </c>
      <c r="F57" s="1">
        <v>1</v>
      </c>
      <c r="G57" s="1">
        <v>65</v>
      </c>
      <c r="H57" s="1" t="s">
        <v>28</v>
      </c>
      <c r="I57" s="1" t="s">
        <v>19</v>
      </c>
      <c r="J57" s="1" t="s">
        <v>37</v>
      </c>
      <c r="K57" s="2">
        <v>45217</v>
      </c>
      <c r="L57" s="2">
        <v>45220</v>
      </c>
      <c r="M57" s="2"/>
      <c r="N57" t="str">
        <f t="shared" si="2"/>
        <v>NO</v>
      </c>
      <c r="O57" t="str" cm="1">
        <f t="array" ref="O57">_xlfn.XLOOKUP(C57,'Product Master'!$A$2:A$23,'Product Master'!$C$2:$C$23)</f>
        <v>Toys</v>
      </c>
      <c r="P57">
        <f t="shared" si="1"/>
        <v>3</v>
      </c>
      <c r="Q57" t="str">
        <f>IFERROR(_xlfn.XLOOKUP(B57,'Customer Master'!$A$2:$A$50,'Customer Master'!$B$2:$B$50),"NOT FOUND")</f>
        <v>Emma King</v>
      </c>
      <c r="R57" t="str" cm="1">
        <f t="array" ref="R57">_xlfn.IFS(P57="NA","NA",P57&lt;=2,"Fast",P57&gt;2,"Slow")</f>
        <v>Slow</v>
      </c>
      <c r="S57" t="str">
        <f>_xlfn.XLOOKUP(C57,'Product Master'!$A$2:$A$23,'Product Master'!$B$2:$B$23)</f>
        <v>Leg Set</v>
      </c>
    </row>
    <row r="58" spans="1:19" x14ac:dyDescent="0.3">
      <c r="A58" s="16" t="s">
        <v>141</v>
      </c>
      <c r="B58" s="1" t="s">
        <v>89</v>
      </c>
      <c r="C58" s="1" t="s">
        <v>40</v>
      </c>
      <c r="D58" s="1" t="s">
        <v>30</v>
      </c>
      <c r="E58" s="1">
        <v>26</v>
      </c>
      <c r="F58" s="1">
        <v>1</v>
      </c>
      <c r="G58" s="1">
        <v>26</v>
      </c>
      <c r="H58" s="1" t="s">
        <v>13</v>
      </c>
      <c r="I58" s="1" t="s">
        <v>19</v>
      </c>
      <c r="J58" s="1" t="s">
        <v>15</v>
      </c>
      <c r="K58" s="2">
        <v>44933</v>
      </c>
      <c r="L58" s="2">
        <v>44935</v>
      </c>
      <c r="M58" s="2"/>
      <c r="N58" t="str">
        <f t="shared" si="2"/>
        <v>NO</v>
      </c>
      <c r="O58" t="str" cm="1">
        <f t="array" ref="O58">_xlfn.XLOOKUP(C58,'Product Master'!$A$2:A$23,'Product Master'!$C$2:$C$23)</f>
        <v>Fashion</v>
      </c>
      <c r="P58">
        <f t="shared" si="1"/>
        <v>2</v>
      </c>
      <c r="Q58" t="str">
        <f>IFERROR(_xlfn.XLOOKUP(B58,'Customer Master'!$A$2:$A$50,'Customer Master'!$B$2:$B$50),"NOT FOUND")</f>
        <v>Emma King</v>
      </c>
      <c r="R58" t="str" cm="1">
        <f t="array" ref="R58">_xlfn.IFS(P58="NA","NA",P58&lt;=2,"Fast",P58&gt;2,"Slow")</f>
        <v>Fast</v>
      </c>
      <c r="S58" t="str">
        <f>_xlfn.XLOOKUP(C58,'Product Master'!$A$2:$A$23,'Product Master'!$B$2:$B$23)</f>
        <v>T-Shirt</v>
      </c>
    </row>
    <row r="59" spans="1:19" x14ac:dyDescent="0.3">
      <c r="A59" s="16" t="s">
        <v>142</v>
      </c>
      <c r="B59" s="1" t="s">
        <v>55</v>
      </c>
      <c r="C59" s="1" t="s">
        <v>46</v>
      </c>
      <c r="D59" s="1" t="s">
        <v>12</v>
      </c>
      <c r="E59" s="1">
        <v>11</v>
      </c>
      <c r="F59" s="1">
        <v>5</v>
      </c>
      <c r="G59" s="1">
        <v>55</v>
      </c>
      <c r="H59" s="1" t="s">
        <v>18</v>
      </c>
      <c r="I59" s="1" t="s">
        <v>22</v>
      </c>
      <c r="J59" s="1" t="s">
        <v>37</v>
      </c>
      <c r="K59" s="2">
        <v>45054</v>
      </c>
      <c r="L59" s="2"/>
      <c r="M59" s="2"/>
      <c r="N59" t="str">
        <f t="shared" si="2"/>
        <v>NO</v>
      </c>
      <c r="O59" t="str" cm="1">
        <f t="array" ref="O59">_xlfn.XLOOKUP(C59,'Product Master'!$A$2:A$23,'Product Master'!$C$2:$C$23)</f>
        <v>Books</v>
      </c>
      <c r="P59" t="str">
        <f t="shared" si="1"/>
        <v>NA</v>
      </c>
      <c r="Q59" t="str">
        <f>IFERROR(_xlfn.XLOOKUP(B59,'Customer Master'!$A$2:$A$50,'Customer Master'!$B$2:$B$50),"NOT FOUND")</f>
        <v>Zoe Mitchell</v>
      </c>
      <c r="R59" t="str" cm="1">
        <f t="array" ref="R59">_xlfn.IFS(P59="NA","NA",P59&lt;=2,"Fast",P59&gt;2,"Slow")</f>
        <v>NA</v>
      </c>
      <c r="S59" t="str">
        <f>_xlfn.XLOOKUP(C59,'Product Master'!$A$2:$A$23,'Product Master'!$B$2:$B$23)</f>
        <v>Magazine</v>
      </c>
    </row>
    <row r="60" spans="1:19" x14ac:dyDescent="0.3">
      <c r="A60" s="16" t="s">
        <v>143</v>
      </c>
      <c r="B60" s="1" t="s">
        <v>144</v>
      </c>
      <c r="C60" s="1" t="s">
        <v>20</v>
      </c>
      <c r="D60" s="1" t="s">
        <v>12</v>
      </c>
      <c r="E60" s="1">
        <v>195</v>
      </c>
      <c r="F60" s="1">
        <v>4</v>
      </c>
      <c r="G60" s="1">
        <v>780</v>
      </c>
      <c r="H60" s="1" t="s">
        <v>24</v>
      </c>
      <c r="I60" s="1" t="s">
        <v>14</v>
      </c>
      <c r="J60" s="1" t="s">
        <v>37</v>
      </c>
      <c r="K60" s="2">
        <v>45018</v>
      </c>
      <c r="L60" s="2"/>
      <c r="M60" s="2">
        <v>45021</v>
      </c>
      <c r="N60" t="str">
        <f t="shared" si="2"/>
        <v>YES</v>
      </c>
      <c r="O60" t="str" cm="1">
        <f t="array" ref="O60">_xlfn.XLOOKUP(C60,'Product Master'!$A$2:A$23,'Product Master'!$C$2:$C$23)</f>
        <v>Home</v>
      </c>
      <c r="P60" t="str">
        <f t="shared" si="1"/>
        <v>NA</v>
      </c>
      <c r="Q60" t="str">
        <f>IFERROR(_xlfn.XLOOKUP(B60,'Customer Master'!$A$2:$A$50,'Customer Master'!$B$2:$B$50),"NOT FOUND")</f>
        <v>Ethan Davis</v>
      </c>
      <c r="R60" t="str" cm="1">
        <f t="array" ref="R60">_xlfn.IFS(P60="NA","NA",P60&lt;=2,"Fast",P60&gt;2,"Slow")</f>
        <v>NA</v>
      </c>
      <c r="S60" t="str">
        <f>_xlfn.XLOOKUP(C60,'Product Master'!$A$2:$A$23,'Product Master'!$B$2:$B$23)</f>
        <v>Vacuum Cleaner</v>
      </c>
    </row>
    <row r="61" spans="1:19" x14ac:dyDescent="0.3">
      <c r="A61" s="16" t="s">
        <v>145</v>
      </c>
      <c r="B61" s="1" t="s">
        <v>68</v>
      </c>
      <c r="C61" s="1" t="s">
        <v>34</v>
      </c>
      <c r="D61" s="1" t="s">
        <v>33</v>
      </c>
      <c r="E61" s="1">
        <v>44</v>
      </c>
      <c r="F61" s="1">
        <v>5</v>
      </c>
      <c r="G61" s="1">
        <v>220</v>
      </c>
      <c r="H61" s="1" t="s">
        <v>13</v>
      </c>
      <c r="I61" s="1" t="s">
        <v>14</v>
      </c>
      <c r="J61" s="1" t="s">
        <v>23</v>
      </c>
      <c r="K61" s="2">
        <v>45210</v>
      </c>
      <c r="L61" s="2"/>
      <c r="M61" s="2">
        <v>45211</v>
      </c>
      <c r="N61" t="str">
        <f t="shared" si="2"/>
        <v>YES</v>
      </c>
      <c r="O61" t="str" cm="1">
        <f t="array" ref="O61">_xlfn.XLOOKUP(C61,'Product Master'!$A$2:A$23,'Product Master'!$C$2:$C$23)</f>
        <v>Fashion</v>
      </c>
      <c r="P61" t="str">
        <f t="shared" si="1"/>
        <v>NA</v>
      </c>
      <c r="Q61" t="str">
        <f>IFERROR(_xlfn.XLOOKUP(B61,'Customer Master'!$A$2:$A$50,'Customer Master'!$B$2:$B$50),"NOT FOUND")</f>
        <v>Ava Robinson</v>
      </c>
      <c r="R61" t="str" cm="1">
        <f t="array" ref="R61">_xlfn.IFS(P61="NA","NA",P61&lt;=2,"Fast",P61&gt;2,"Slow")</f>
        <v>NA</v>
      </c>
      <c r="S61" t="str">
        <f>_xlfn.XLOOKUP(C61,'Product Master'!$A$2:$A$23,'Product Master'!$B$2:$B$23)</f>
        <v>Formal Shirt</v>
      </c>
    </row>
    <row r="62" spans="1:19" x14ac:dyDescent="0.3">
      <c r="A62" s="16" t="s">
        <v>146</v>
      </c>
      <c r="B62" s="1" t="s">
        <v>147</v>
      </c>
      <c r="C62" s="1" t="s">
        <v>42</v>
      </c>
      <c r="D62" s="1" t="s">
        <v>17</v>
      </c>
      <c r="E62" s="1">
        <v>69</v>
      </c>
      <c r="F62" s="1">
        <v>4</v>
      </c>
      <c r="G62" s="1">
        <v>276</v>
      </c>
      <c r="H62" s="1" t="s">
        <v>31</v>
      </c>
      <c r="I62" s="1" t="s">
        <v>22</v>
      </c>
      <c r="J62" s="1" t="s">
        <v>15</v>
      </c>
      <c r="K62" s="2">
        <v>45179</v>
      </c>
      <c r="L62" s="2"/>
      <c r="M62" s="2"/>
      <c r="N62" t="str">
        <f t="shared" si="2"/>
        <v>NO</v>
      </c>
      <c r="O62" t="str" cm="1">
        <f t="array" ref="O62">_xlfn.XLOOKUP(C62,'Product Master'!$A$2:A$23,'Product Master'!$C$2:$C$23)</f>
        <v>Books</v>
      </c>
      <c r="P62" t="str">
        <f t="shared" si="1"/>
        <v>NA</v>
      </c>
      <c r="Q62" t="str">
        <f>IFERROR(_xlfn.XLOOKUP(B62,'Customer Master'!$A$2:$A$50,'Customer Master'!$B$2:$B$50),"NOT FOUND")</f>
        <v>Scarlett Adams</v>
      </c>
      <c r="R62" t="str" cm="1">
        <f t="array" ref="R62">_xlfn.IFS(P62="NA","NA",P62&lt;=2,"Fast",P62&gt;2,"Slow")</f>
        <v>NA</v>
      </c>
      <c r="S62" t="str">
        <f>_xlfn.XLOOKUP(C62,'Product Master'!$A$2:$A$23,'Product Master'!$B$2:$B$23)</f>
        <v>Textbook</v>
      </c>
    </row>
    <row r="63" spans="1:19" x14ac:dyDescent="0.3">
      <c r="A63" s="16" t="s">
        <v>148</v>
      </c>
      <c r="B63" s="1" t="s">
        <v>149</v>
      </c>
      <c r="C63" s="1" t="s">
        <v>43</v>
      </c>
      <c r="D63" s="1" t="s">
        <v>12</v>
      </c>
      <c r="E63" s="1">
        <v>815</v>
      </c>
      <c r="F63" s="1">
        <v>4</v>
      </c>
      <c r="G63" s="1">
        <v>3260</v>
      </c>
      <c r="H63" s="1" t="s">
        <v>18</v>
      </c>
      <c r="I63" s="1" t="s">
        <v>19</v>
      </c>
      <c r="J63" s="1" t="s">
        <v>23</v>
      </c>
      <c r="K63" s="2">
        <v>45252</v>
      </c>
      <c r="L63" s="2">
        <v>45259</v>
      </c>
      <c r="M63" s="2"/>
      <c r="N63" t="str">
        <f t="shared" si="2"/>
        <v>NO</v>
      </c>
      <c r="O63" t="str" cm="1">
        <f t="array" ref="O63">_xlfn.XLOOKUP(C63,'Product Master'!$A$2:A$23,'Product Master'!$C$2:$C$23)</f>
        <v>Electronics</v>
      </c>
      <c r="P63">
        <f t="shared" si="1"/>
        <v>7</v>
      </c>
      <c r="Q63" t="str">
        <f>IFERROR(_xlfn.XLOOKUP(B63,'Customer Master'!$A$2:$A$50,'Customer Master'!$B$2:$B$50),"NOT FOUND")</f>
        <v>Elijah Lewis</v>
      </c>
      <c r="R63" t="str" cm="1">
        <f t="array" ref="R63">_xlfn.IFS(P63="NA","NA",P63&lt;=2,"Fast",P63&gt;2,"Slow")</f>
        <v>Slow</v>
      </c>
      <c r="S63" t="str">
        <f>_xlfn.XLOOKUP(C63,'Product Master'!$A$2:$A$23,'Product Master'!$B$2:$B$23)</f>
        <v>Smartphone</v>
      </c>
    </row>
    <row r="64" spans="1:19" x14ac:dyDescent="0.3">
      <c r="A64" s="16" t="s">
        <v>150</v>
      </c>
      <c r="B64" s="1" t="s">
        <v>151</v>
      </c>
      <c r="C64" s="1" t="s">
        <v>40</v>
      </c>
      <c r="D64" s="1" t="s">
        <v>17</v>
      </c>
      <c r="E64" s="1">
        <v>27</v>
      </c>
      <c r="F64" s="1">
        <v>1</v>
      </c>
      <c r="G64" s="1">
        <v>27</v>
      </c>
      <c r="H64" s="1" t="s">
        <v>31</v>
      </c>
      <c r="I64" s="1" t="s">
        <v>22</v>
      </c>
      <c r="J64" s="1" t="s">
        <v>27</v>
      </c>
      <c r="K64" s="2">
        <v>45048</v>
      </c>
      <c r="L64" s="2"/>
      <c r="M64" s="2"/>
      <c r="N64" t="str">
        <f t="shared" si="2"/>
        <v>NO</v>
      </c>
      <c r="O64" t="str" cm="1">
        <f t="array" ref="O64">_xlfn.XLOOKUP(C64,'Product Master'!$A$2:A$23,'Product Master'!$C$2:$C$23)</f>
        <v>Fashion</v>
      </c>
      <c r="P64" t="str">
        <f t="shared" si="1"/>
        <v>NA</v>
      </c>
      <c r="Q64" t="str">
        <f>IFERROR(_xlfn.XLOOKUP(B64,'Customer Master'!$A$2:$A$50,'Customer Master'!$B$2:$B$50),"NOT FOUND")</f>
        <v>Noah Wilson</v>
      </c>
      <c r="R64" t="str" cm="1">
        <f t="array" ref="R64">_xlfn.IFS(P64="NA","NA",P64&lt;=2,"Fast",P64&gt;2,"Slow")</f>
        <v>NA</v>
      </c>
      <c r="S64" t="str">
        <f>_xlfn.XLOOKUP(C64,'Product Master'!$A$2:$A$23,'Product Master'!$B$2:$B$23)</f>
        <v>T-Shirt</v>
      </c>
    </row>
    <row r="65" spans="1:19" x14ac:dyDescent="0.3">
      <c r="A65" s="16" t="s">
        <v>152</v>
      </c>
      <c r="B65" s="1" t="s">
        <v>153</v>
      </c>
      <c r="C65" s="1" t="s">
        <v>35</v>
      </c>
      <c r="D65" s="1" t="s">
        <v>33</v>
      </c>
      <c r="E65" s="1">
        <v>139</v>
      </c>
      <c r="F65" s="1">
        <v>5</v>
      </c>
      <c r="G65" s="1">
        <v>695</v>
      </c>
      <c r="H65" s="1" t="s">
        <v>13</v>
      </c>
      <c r="I65" s="1" t="s">
        <v>19</v>
      </c>
      <c r="J65" s="1" t="s">
        <v>23</v>
      </c>
      <c r="K65" s="2">
        <v>45285</v>
      </c>
      <c r="L65" s="2">
        <v>45289</v>
      </c>
      <c r="M65" s="2"/>
      <c r="N65" t="str">
        <f t="shared" si="2"/>
        <v>NO</v>
      </c>
      <c r="O65" t="str" cm="1">
        <f t="array" ref="O65">_xlfn.XLOOKUP(C65,'Product Master'!$A$2:A$23,'Product Master'!$C$2:$C$23)</f>
        <v>Home</v>
      </c>
      <c r="P65">
        <f t="shared" si="1"/>
        <v>4</v>
      </c>
      <c r="Q65" t="str">
        <f>IFERROR(_xlfn.XLOOKUP(B65,'Customer Master'!$A$2:$A$50,'Customer Master'!$B$2:$B$50),"NOT FOUND")</f>
        <v>Noah Wilson</v>
      </c>
      <c r="R65" t="str" cm="1">
        <f t="array" ref="R65">_xlfn.IFS(P65="NA","NA",P65&lt;=2,"Fast",P65&gt;2,"Slow")</f>
        <v>Slow</v>
      </c>
      <c r="S65" t="str">
        <f>_xlfn.XLOOKUP(C65,'Product Master'!$A$2:$A$23,'Product Master'!$B$2:$B$23)</f>
        <v>Cookware Set</v>
      </c>
    </row>
    <row r="66" spans="1:19" x14ac:dyDescent="0.3">
      <c r="A66" s="16" t="s">
        <v>154</v>
      </c>
      <c r="B66" s="1" t="s">
        <v>64</v>
      </c>
      <c r="C66" s="1" t="s">
        <v>42</v>
      </c>
      <c r="D66" s="1" t="s">
        <v>21</v>
      </c>
      <c r="E66" s="1">
        <v>69</v>
      </c>
      <c r="F66" s="1">
        <v>3</v>
      </c>
      <c r="G66" s="1">
        <v>207</v>
      </c>
      <c r="H66" s="1" t="s">
        <v>24</v>
      </c>
      <c r="I66" s="1" t="s">
        <v>14</v>
      </c>
      <c r="J66" s="1" t="s">
        <v>27</v>
      </c>
      <c r="K66" s="2">
        <v>45217</v>
      </c>
      <c r="L66" s="2"/>
      <c r="M66" s="2">
        <v>45219</v>
      </c>
      <c r="N66" t="str">
        <f t="shared" ref="N66:N97" si="3">IF(OR(I66="cancelled",M66&lt;&gt;""),"YES","NO")</f>
        <v>YES</v>
      </c>
      <c r="O66" t="str" cm="1">
        <f t="array" ref="O66">_xlfn.XLOOKUP(C66,'Product Master'!$A$2:A$23,'Product Master'!$C$2:$C$23)</f>
        <v>Books</v>
      </c>
      <c r="P66" t="str">
        <f t="shared" si="1"/>
        <v>NA</v>
      </c>
      <c r="Q66" t="str">
        <f>IFERROR(_xlfn.XLOOKUP(B66,'Customer Master'!$A$2:$A$50,'Customer Master'!$B$2:$B$50),"NOT FOUND")</f>
        <v>Jackson Allen</v>
      </c>
      <c r="R66" t="str" cm="1">
        <f t="array" ref="R66">_xlfn.IFS(P66="NA","NA",P66&lt;=2,"Fast",P66&gt;2,"Slow")</f>
        <v>NA</v>
      </c>
      <c r="S66" t="str">
        <f>_xlfn.XLOOKUP(C66,'Product Master'!$A$2:$A$23,'Product Master'!$B$2:$B$23)</f>
        <v>Textbook</v>
      </c>
    </row>
    <row r="67" spans="1:19" x14ac:dyDescent="0.3">
      <c r="A67" s="16" t="s">
        <v>155</v>
      </c>
      <c r="B67" s="1" t="s">
        <v>64</v>
      </c>
      <c r="C67" s="1" t="s">
        <v>34</v>
      </c>
      <c r="D67" s="1" t="s">
        <v>33</v>
      </c>
      <c r="E67" s="1">
        <v>42</v>
      </c>
      <c r="F67" s="1">
        <v>1</v>
      </c>
      <c r="G67" s="1">
        <v>42</v>
      </c>
      <c r="H67" s="1" t="s">
        <v>13</v>
      </c>
      <c r="I67" s="1" t="s">
        <v>14</v>
      </c>
      <c r="J67" s="1" t="s">
        <v>15</v>
      </c>
      <c r="K67" s="2">
        <v>45066</v>
      </c>
      <c r="L67" s="2"/>
      <c r="M67" s="2">
        <v>45067</v>
      </c>
      <c r="N67" t="str">
        <f t="shared" si="3"/>
        <v>YES</v>
      </c>
      <c r="O67" t="str" cm="1">
        <f t="array" ref="O67">_xlfn.XLOOKUP(C67,'Product Master'!$A$2:A$23,'Product Master'!$C$2:$C$23)</f>
        <v>Fashion</v>
      </c>
      <c r="P67" t="str">
        <f t="shared" ref="P67:P101" si="4">IF(L67&lt;&gt;"",L67-K67,"NA")</f>
        <v>NA</v>
      </c>
      <c r="Q67" t="str">
        <f>IFERROR(_xlfn.XLOOKUP(B67,'Customer Master'!$A$2:$A$50,'Customer Master'!$B$2:$B$50),"NOT FOUND")</f>
        <v>Jackson Allen</v>
      </c>
      <c r="R67" t="str" cm="1">
        <f t="array" ref="R67">_xlfn.IFS(P67="NA","NA",P67&lt;=2,"Fast",P67&gt;2,"Slow")</f>
        <v>NA</v>
      </c>
      <c r="S67" t="str">
        <f>_xlfn.XLOOKUP(C67,'Product Master'!$A$2:$A$23,'Product Master'!$B$2:$B$23)</f>
        <v>Formal Shirt</v>
      </c>
    </row>
    <row r="68" spans="1:19" x14ac:dyDescent="0.3">
      <c r="A68" s="16" t="s">
        <v>156</v>
      </c>
      <c r="B68" s="1" t="s">
        <v>157</v>
      </c>
      <c r="C68" s="1" t="s">
        <v>49</v>
      </c>
      <c r="D68" s="1" t="s">
        <v>12</v>
      </c>
      <c r="E68" s="1">
        <v>31</v>
      </c>
      <c r="F68" s="1">
        <v>4</v>
      </c>
      <c r="G68" s="1">
        <v>124</v>
      </c>
      <c r="H68" s="1" t="s">
        <v>18</v>
      </c>
      <c r="I68" s="1" t="s">
        <v>19</v>
      </c>
      <c r="J68" s="1" t="s">
        <v>25</v>
      </c>
      <c r="K68" s="2">
        <v>45135</v>
      </c>
      <c r="L68" s="2">
        <v>45137</v>
      </c>
      <c r="M68" s="2"/>
      <c r="N68" t="str">
        <f t="shared" si="3"/>
        <v>NO</v>
      </c>
      <c r="O68" t="str" cm="1">
        <f t="array" ref="O68">_xlfn.XLOOKUP(C68,'Product Master'!$A$2:A$23,'Product Master'!$C$2:$C$23)</f>
        <v>Toys</v>
      </c>
      <c r="P68">
        <f t="shared" si="4"/>
        <v>2</v>
      </c>
      <c r="Q68" t="str">
        <f>IFERROR(_xlfn.XLOOKUP(B68,'Customer Master'!$A$2:$A$50,'Customer Master'!$B$2:$B$50),"NOT FOUND")</f>
        <v>NOT FOUND</v>
      </c>
      <c r="R68" t="str" cm="1">
        <f t="array" ref="R68">_xlfn.IFS(P68="NA","NA",P68&lt;=2,"Fast",P68&gt;2,"Slow")</f>
        <v>Fast</v>
      </c>
      <c r="S68" t="str">
        <f>_xlfn.XLOOKUP(C68,'Product Master'!$A$2:$A$23,'Product Master'!$B$2:$B$23)</f>
        <v>Puzzle</v>
      </c>
    </row>
    <row r="69" spans="1:19" x14ac:dyDescent="0.3">
      <c r="A69" s="16" t="s">
        <v>158</v>
      </c>
      <c r="B69" s="1" t="s">
        <v>75</v>
      </c>
      <c r="C69" s="1" t="s">
        <v>29</v>
      </c>
      <c r="D69" s="1" t="s">
        <v>33</v>
      </c>
      <c r="E69" s="1">
        <v>104</v>
      </c>
      <c r="F69" s="1">
        <v>3</v>
      </c>
      <c r="G69" s="1">
        <v>312</v>
      </c>
      <c r="H69" s="1" t="s">
        <v>18</v>
      </c>
      <c r="I69" s="1" t="s">
        <v>22</v>
      </c>
      <c r="J69" s="1" t="s">
        <v>25</v>
      </c>
      <c r="K69" s="2">
        <v>45278</v>
      </c>
      <c r="L69" s="2"/>
      <c r="M69" s="2"/>
      <c r="N69" t="str">
        <f t="shared" si="3"/>
        <v>NO</v>
      </c>
      <c r="O69" t="str" cm="1">
        <f t="array" ref="O69">_xlfn.XLOOKUP(C69,'Product Master'!$A$2:A$23,'Product Master'!$C$2:$C$23)</f>
        <v>Electronics</v>
      </c>
      <c r="P69" t="str">
        <f t="shared" si="4"/>
        <v>NA</v>
      </c>
      <c r="Q69" t="str">
        <f>IFERROR(_xlfn.XLOOKUP(B69,'Customer Master'!$A$2:$A$50,'Customer Master'!$B$2:$B$50),"NOT FOUND")</f>
        <v>Emily Johnson</v>
      </c>
      <c r="R69" t="str" cm="1">
        <f t="array" ref="R69">_xlfn.IFS(P69="NA","NA",P69&lt;=2,"Fast",P69&gt;2,"Slow")</f>
        <v>NA</v>
      </c>
      <c r="S69" t="str">
        <f>_xlfn.XLOOKUP(C69,'Product Master'!$A$2:$A$23,'Product Master'!$B$2:$B$23)</f>
        <v>Bluetooth Speaker</v>
      </c>
    </row>
    <row r="70" spans="1:19" x14ac:dyDescent="0.3">
      <c r="A70" s="16" t="s">
        <v>159</v>
      </c>
      <c r="B70" s="1" t="s">
        <v>60</v>
      </c>
      <c r="C70" s="1" t="s">
        <v>26</v>
      </c>
      <c r="D70" s="1" t="s">
        <v>17</v>
      </c>
      <c r="E70" s="1">
        <v>58</v>
      </c>
      <c r="F70" s="1">
        <v>2</v>
      </c>
      <c r="G70" s="1">
        <v>116</v>
      </c>
      <c r="H70" s="1" t="s">
        <v>13</v>
      </c>
      <c r="I70" s="1" t="s">
        <v>14</v>
      </c>
      <c r="J70" s="1" t="s">
        <v>23</v>
      </c>
      <c r="K70" s="2">
        <v>45109</v>
      </c>
      <c r="L70" s="2"/>
      <c r="M70" s="2">
        <v>45114</v>
      </c>
      <c r="N70" t="str">
        <f t="shared" si="3"/>
        <v>YES</v>
      </c>
      <c r="O70" t="str" cm="1">
        <f t="array" ref="O70">_xlfn.XLOOKUP(C70,'Product Master'!$A$2:A$23,'Product Master'!$C$2:$C$23)</f>
        <v>Fashion</v>
      </c>
      <c r="P70" t="str">
        <f t="shared" si="4"/>
        <v>NA</v>
      </c>
      <c r="Q70" t="str">
        <f>IFERROR(_xlfn.XLOOKUP(B70,'Customer Master'!$A$2:$A$50,'Customer Master'!$B$2:$B$50),"NOT FOUND")</f>
        <v>Grace Ward</v>
      </c>
      <c r="R70" t="str" cm="1">
        <f t="array" ref="R70">_xlfn.IFS(P70="NA","NA",P70&lt;=2,"Fast",P70&gt;2,"Slow")</f>
        <v>NA</v>
      </c>
      <c r="S70" t="str">
        <f>_xlfn.XLOOKUP(C70,'Product Master'!$A$2:$A$23,'Product Master'!$B$2:$B$23)</f>
        <v>Jeans</v>
      </c>
    </row>
    <row r="71" spans="1:19" x14ac:dyDescent="0.3">
      <c r="A71" s="16" t="s">
        <v>160</v>
      </c>
      <c r="B71" s="1" t="s">
        <v>64</v>
      </c>
      <c r="C71" s="1" t="s">
        <v>50</v>
      </c>
      <c r="D71" s="1" t="s">
        <v>33</v>
      </c>
      <c r="E71" s="1">
        <v>62</v>
      </c>
      <c r="F71" s="1">
        <v>2</v>
      </c>
      <c r="G71" s="1">
        <v>124</v>
      </c>
      <c r="H71" s="1" t="s">
        <v>31</v>
      </c>
      <c r="I71" s="1" t="s">
        <v>14</v>
      </c>
      <c r="J71" s="1" t="s">
        <v>15</v>
      </c>
      <c r="K71" s="2">
        <v>45208</v>
      </c>
      <c r="L71" s="2"/>
      <c r="M71" s="2">
        <v>45209</v>
      </c>
      <c r="N71" t="str">
        <f t="shared" si="3"/>
        <v>YES</v>
      </c>
      <c r="O71" t="str" cm="1">
        <f t="array" ref="O71">_xlfn.XLOOKUP(C71,'Product Master'!$A$2:A$23,'Product Master'!$C$2:$C$23)</f>
        <v>Toys</v>
      </c>
      <c r="P71" t="str">
        <f t="shared" si="4"/>
        <v>NA</v>
      </c>
      <c r="Q71" t="str">
        <f>IFERROR(_xlfn.XLOOKUP(B71,'Customer Master'!$A$2:$A$50,'Customer Master'!$B$2:$B$50),"NOT FOUND")</f>
        <v>Jackson Allen</v>
      </c>
      <c r="R71" t="str" cm="1">
        <f t="array" ref="R71">_xlfn.IFS(P71="NA","NA",P71&lt;=2,"Fast",P71&gt;2,"Slow")</f>
        <v>NA</v>
      </c>
      <c r="S71" t="str">
        <f>_xlfn.XLOOKUP(C71,'Product Master'!$A$2:$A$23,'Product Master'!$B$2:$B$23)</f>
        <v>Leg Set</v>
      </c>
    </row>
    <row r="72" spans="1:19" x14ac:dyDescent="0.3">
      <c r="A72" s="16" t="s">
        <v>161</v>
      </c>
      <c r="B72" s="1" t="s">
        <v>120</v>
      </c>
      <c r="C72" s="1" t="s">
        <v>34</v>
      </c>
      <c r="D72" s="1" t="s">
        <v>17</v>
      </c>
      <c r="E72" s="1">
        <v>43</v>
      </c>
      <c r="F72" s="1">
        <v>1</v>
      </c>
      <c r="G72" s="1">
        <v>43</v>
      </c>
      <c r="H72" s="1" t="s">
        <v>18</v>
      </c>
      <c r="I72" s="1" t="s">
        <v>19</v>
      </c>
      <c r="J72" s="1" t="s">
        <v>27</v>
      </c>
      <c r="K72" s="2">
        <v>45278</v>
      </c>
      <c r="L72" s="2">
        <v>45285</v>
      </c>
      <c r="M72" s="2"/>
      <c r="N72" t="str">
        <f t="shared" si="3"/>
        <v>NO</v>
      </c>
      <c r="O72" t="str" cm="1">
        <f t="array" ref="O72">_xlfn.XLOOKUP(C72,'Product Master'!$A$2:A$23,'Product Master'!$C$2:$C$23)</f>
        <v>Fashion</v>
      </c>
      <c r="P72">
        <f t="shared" si="4"/>
        <v>7</v>
      </c>
      <c r="Q72" t="str">
        <f>IFERROR(_xlfn.XLOOKUP(B72,'Customer Master'!$A$2:$A$50,'Customer Master'!$B$2:$B$50),"NOT FOUND")</f>
        <v>Ava Robinson</v>
      </c>
      <c r="R72" t="str" cm="1">
        <f t="array" ref="R72">_xlfn.IFS(P72="NA","NA",P72&lt;=2,"Fast",P72&gt;2,"Slow")</f>
        <v>Slow</v>
      </c>
      <c r="S72" t="str">
        <f>_xlfn.XLOOKUP(C72,'Product Master'!$A$2:$A$23,'Product Master'!$B$2:$B$23)</f>
        <v>Formal Shirt</v>
      </c>
    </row>
    <row r="73" spans="1:19" x14ac:dyDescent="0.3">
      <c r="A73" s="16" t="s">
        <v>162</v>
      </c>
      <c r="B73" s="1" t="s">
        <v>149</v>
      </c>
      <c r="C73" s="1" t="s">
        <v>50</v>
      </c>
      <c r="D73" s="1" t="s">
        <v>17</v>
      </c>
      <c r="E73" s="1">
        <v>62</v>
      </c>
      <c r="F73" s="1">
        <v>4</v>
      </c>
      <c r="G73" s="1">
        <v>248</v>
      </c>
      <c r="H73" s="1" t="s">
        <v>31</v>
      </c>
      <c r="I73" s="1" t="s">
        <v>22</v>
      </c>
      <c r="J73" s="1" t="s">
        <v>27</v>
      </c>
      <c r="K73" s="2">
        <v>44992</v>
      </c>
      <c r="L73" s="2"/>
      <c r="M73" s="2"/>
      <c r="N73" t="str">
        <f t="shared" si="3"/>
        <v>NO</v>
      </c>
      <c r="O73" t="str" cm="1">
        <f t="array" ref="O73">_xlfn.XLOOKUP(C73,'Product Master'!$A$2:A$23,'Product Master'!$C$2:$C$23)</f>
        <v>Toys</v>
      </c>
      <c r="P73" t="str">
        <f t="shared" si="4"/>
        <v>NA</v>
      </c>
      <c r="Q73" t="str">
        <f>IFERROR(_xlfn.XLOOKUP(B73,'Customer Master'!$A$2:$A$50,'Customer Master'!$B$2:$B$50),"NOT FOUND")</f>
        <v>Elijah Lewis</v>
      </c>
      <c r="R73" t="str" cm="1">
        <f t="array" ref="R73">_xlfn.IFS(P73="NA","NA",P73&lt;=2,"Fast",P73&gt;2,"Slow")</f>
        <v>NA</v>
      </c>
      <c r="S73" t="str">
        <f>_xlfn.XLOOKUP(C73,'Product Master'!$A$2:$A$23,'Product Master'!$B$2:$B$23)</f>
        <v>Leg Set</v>
      </c>
    </row>
    <row r="74" spans="1:19" x14ac:dyDescent="0.3">
      <c r="A74" s="16" t="s">
        <v>163</v>
      </c>
      <c r="B74" s="1" t="s">
        <v>95</v>
      </c>
      <c r="C74" s="1" t="s">
        <v>38</v>
      </c>
      <c r="D74" s="1" t="s">
        <v>12</v>
      </c>
      <c r="E74" s="1">
        <v>95</v>
      </c>
      <c r="F74" s="1">
        <v>2</v>
      </c>
      <c r="G74" s="1">
        <v>190</v>
      </c>
      <c r="H74" s="1" t="s">
        <v>24</v>
      </c>
      <c r="I74" s="1" t="s">
        <v>14</v>
      </c>
      <c r="J74" s="1" t="s">
        <v>25</v>
      </c>
      <c r="K74" s="2">
        <v>45129</v>
      </c>
      <c r="L74" s="2"/>
      <c r="M74" s="2">
        <v>45132</v>
      </c>
      <c r="N74" t="str">
        <f t="shared" si="3"/>
        <v>YES</v>
      </c>
      <c r="O74" t="str" cm="1">
        <f t="array" ref="O74">_xlfn.XLOOKUP(C74,'Product Master'!$A$2:A$23,'Product Master'!$C$2:$C$23)</f>
        <v>Fashion</v>
      </c>
      <c r="P74" t="str">
        <f t="shared" si="4"/>
        <v>NA</v>
      </c>
      <c r="Q74" t="str">
        <f>IFERROR(_xlfn.XLOOKUP(B74,'Customer Master'!$A$2:$A$50,'Customer Master'!$B$2:$B$50),"NOT FOUND")</f>
        <v>Lily Bennett</v>
      </c>
      <c r="R74" t="str" cm="1">
        <f t="array" ref="R74">_xlfn.IFS(P74="NA","NA",P74&lt;=2,"Fast",P74&gt;2,"Slow")</f>
        <v>NA</v>
      </c>
      <c r="S74" t="str">
        <f>_xlfn.XLOOKUP(C74,'Product Master'!$A$2:$A$23,'Product Master'!$B$2:$B$23)</f>
        <v>Shoes</v>
      </c>
    </row>
    <row r="75" spans="1:19" x14ac:dyDescent="0.3">
      <c r="A75" s="16" t="s">
        <v>164</v>
      </c>
      <c r="B75" s="1" t="s">
        <v>93</v>
      </c>
      <c r="C75" s="1" t="s">
        <v>32</v>
      </c>
      <c r="D75" s="1" t="s">
        <v>30</v>
      </c>
      <c r="E75" s="1">
        <v>36</v>
      </c>
      <c r="F75" s="1">
        <v>4</v>
      </c>
      <c r="G75" s="1">
        <v>144</v>
      </c>
      <c r="H75" s="1" t="s">
        <v>13</v>
      </c>
      <c r="I75" s="1" t="s">
        <v>19</v>
      </c>
      <c r="J75" s="1" t="s">
        <v>37</v>
      </c>
      <c r="K75" s="2">
        <v>44944</v>
      </c>
      <c r="L75" s="2">
        <v>44950</v>
      </c>
      <c r="M75" s="2"/>
      <c r="N75" t="str">
        <f t="shared" si="3"/>
        <v>NO</v>
      </c>
      <c r="O75" t="str" cm="1">
        <f t="array" ref="O75">_xlfn.XLOOKUP(C75,'Product Master'!$A$2:A$23,'Product Master'!$C$2:$C$23)</f>
        <v>Home</v>
      </c>
      <c r="P75">
        <f t="shared" si="4"/>
        <v>6</v>
      </c>
      <c r="Q75" t="str">
        <f>IFERROR(_xlfn.XLOOKUP(B75,'Customer Master'!$A$2:$A$50,'Customer Master'!$B$2:$B$50),"NOT FOUND")</f>
        <v>Elijah Lewis</v>
      </c>
      <c r="R75" t="str" cm="1">
        <f t="array" ref="R75">_xlfn.IFS(P75="NA","NA",P75&lt;=2,"Fast",P75&gt;2,"Slow")</f>
        <v>Slow</v>
      </c>
      <c r="S75" t="str">
        <f>_xlfn.XLOOKUP(C75,'Product Master'!$A$2:$A$23,'Product Master'!$B$2:$B$23)</f>
        <v>Wall Clock</v>
      </c>
    </row>
    <row r="76" spans="1:19" x14ac:dyDescent="0.3">
      <c r="A76" s="16" t="s">
        <v>165</v>
      </c>
      <c r="B76" s="1" t="s">
        <v>66</v>
      </c>
      <c r="C76" s="1" t="s">
        <v>39</v>
      </c>
      <c r="D76" s="1" t="s">
        <v>17</v>
      </c>
      <c r="E76" s="1">
        <v>73</v>
      </c>
      <c r="F76" s="1">
        <v>5</v>
      </c>
      <c r="G76" s="1">
        <v>365</v>
      </c>
      <c r="H76" s="1" t="s">
        <v>13</v>
      </c>
      <c r="I76" s="1" t="s">
        <v>22</v>
      </c>
      <c r="J76" s="1" t="s">
        <v>15</v>
      </c>
      <c r="K76" s="2">
        <v>45070</v>
      </c>
      <c r="L76" s="2"/>
      <c r="M76" s="2"/>
      <c r="N76" t="str">
        <f t="shared" si="3"/>
        <v>NO</v>
      </c>
      <c r="O76" t="str" cm="1">
        <f t="array" ref="O76">_xlfn.XLOOKUP(C76,'Product Master'!$A$2:A$23,'Product Master'!$C$2:$C$23)</f>
        <v>Electronics</v>
      </c>
      <c r="P76" t="str">
        <f t="shared" si="4"/>
        <v>NA</v>
      </c>
      <c r="Q76" t="str">
        <f>IFERROR(_xlfn.XLOOKUP(B76,'Customer Master'!$A$2:$A$50,'Customer Master'!$B$2:$B$50),"NOT FOUND")</f>
        <v>Noah Wilson</v>
      </c>
      <c r="R76" t="str" cm="1">
        <f t="array" ref="R76">_xlfn.IFS(P76="NA","NA",P76&lt;=2,"Fast",P76&gt;2,"Slow")</f>
        <v>NA</v>
      </c>
      <c r="S76" t="str">
        <f>_xlfn.XLOOKUP(C76,'Product Master'!$A$2:$A$23,'Product Master'!$B$2:$B$23)</f>
        <v>Gaming Mouse</v>
      </c>
    </row>
    <row r="77" spans="1:19" x14ac:dyDescent="0.3">
      <c r="A77" s="16" t="s">
        <v>166</v>
      </c>
      <c r="B77" s="1" t="s">
        <v>77</v>
      </c>
      <c r="C77" s="1" t="s">
        <v>34</v>
      </c>
      <c r="D77" s="1" t="s">
        <v>12</v>
      </c>
      <c r="E77" s="1">
        <v>43</v>
      </c>
      <c r="F77" s="1">
        <v>4</v>
      </c>
      <c r="G77" s="1">
        <v>172</v>
      </c>
      <c r="H77" s="1" t="s">
        <v>31</v>
      </c>
      <c r="I77" s="1" t="s">
        <v>19</v>
      </c>
      <c r="J77" s="1" t="s">
        <v>15</v>
      </c>
      <c r="K77" s="2">
        <v>45172</v>
      </c>
      <c r="L77" s="2">
        <v>45178</v>
      </c>
      <c r="M77" s="2"/>
      <c r="N77" t="str">
        <f t="shared" si="3"/>
        <v>NO</v>
      </c>
      <c r="O77" t="str" cm="1">
        <f t="array" ref="O77">_xlfn.XLOOKUP(C77,'Product Master'!$A$2:A$23,'Product Master'!$C$2:$C$23)</f>
        <v>Fashion</v>
      </c>
      <c r="P77">
        <f t="shared" si="4"/>
        <v>6</v>
      </c>
      <c r="Q77" t="str">
        <f>IFERROR(_xlfn.XLOOKUP(B77,'Customer Master'!$A$2:$A$50,'Customer Master'!$B$2:$B$50),"NOT FOUND")</f>
        <v>Charlotte Reed</v>
      </c>
      <c r="R77" t="str" cm="1">
        <f t="array" ref="R77">_xlfn.IFS(P77="NA","NA",P77&lt;=2,"Fast",P77&gt;2,"Slow")</f>
        <v>Slow</v>
      </c>
      <c r="S77" t="str">
        <f>_xlfn.XLOOKUP(C77,'Product Master'!$A$2:$A$23,'Product Master'!$B$2:$B$23)</f>
        <v>Formal Shirt</v>
      </c>
    </row>
    <row r="78" spans="1:19" x14ac:dyDescent="0.3">
      <c r="A78" s="16" t="s">
        <v>167</v>
      </c>
      <c r="B78" s="1" t="s">
        <v>151</v>
      </c>
      <c r="C78" s="1" t="s">
        <v>48</v>
      </c>
      <c r="D78" s="1" t="s">
        <v>33</v>
      </c>
      <c r="E78" s="1">
        <v>214</v>
      </c>
      <c r="F78" s="1">
        <v>5</v>
      </c>
      <c r="G78" s="1">
        <v>1070</v>
      </c>
      <c r="H78" s="1" t="s">
        <v>31</v>
      </c>
      <c r="I78" s="1" t="s">
        <v>19</v>
      </c>
      <c r="J78" s="1" t="s">
        <v>25</v>
      </c>
      <c r="K78" s="2">
        <v>45232</v>
      </c>
      <c r="L78" s="2">
        <v>45234</v>
      </c>
      <c r="M78" s="2"/>
      <c r="N78" t="str">
        <f t="shared" si="3"/>
        <v>NO</v>
      </c>
      <c r="O78" t="str" cm="1">
        <f t="array" ref="O78">_xlfn.XLOOKUP(C78,'Product Master'!$A$2:A$23,'Product Master'!$C$2:$C$23)</f>
        <v>Home</v>
      </c>
      <c r="P78">
        <f t="shared" si="4"/>
        <v>2</v>
      </c>
      <c r="Q78" t="str">
        <f>IFERROR(_xlfn.XLOOKUP(B78,'Customer Master'!$A$2:$A$50,'Customer Master'!$B$2:$B$50),"NOT FOUND")</f>
        <v>Noah Wilson</v>
      </c>
      <c r="R78" t="str" cm="1">
        <f t="array" ref="R78">_xlfn.IFS(P78="NA","NA",P78&lt;=2,"Fast",P78&gt;2,"Slow")</f>
        <v>Fast</v>
      </c>
      <c r="S78" t="str">
        <f>_xlfn.XLOOKUP(C78,'Product Master'!$A$2:$A$23,'Product Master'!$B$2:$B$23)</f>
        <v>Cookware Set Pro</v>
      </c>
    </row>
    <row r="79" spans="1:19" x14ac:dyDescent="0.3">
      <c r="A79" s="16" t="s">
        <v>168</v>
      </c>
      <c r="B79" s="1" t="s">
        <v>153</v>
      </c>
      <c r="C79" s="1" t="s">
        <v>44</v>
      </c>
      <c r="D79" s="1" t="s">
        <v>30</v>
      </c>
      <c r="E79" s="1">
        <v>42</v>
      </c>
      <c r="F79" s="1">
        <v>2</v>
      </c>
      <c r="G79" s="1">
        <v>84</v>
      </c>
      <c r="H79" s="1" t="s">
        <v>13</v>
      </c>
      <c r="I79" s="1" t="s">
        <v>14</v>
      </c>
      <c r="J79" s="1" t="s">
        <v>25</v>
      </c>
      <c r="K79" s="2">
        <v>45263</v>
      </c>
      <c r="L79" s="2"/>
      <c r="M79" s="2">
        <v>45266</v>
      </c>
      <c r="N79" t="str">
        <f t="shared" si="3"/>
        <v>YES</v>
      </c>
      <c r="O79" t="str" cm="1">
        <f t="array" ref="O79">_xlfn.XLOOKUP(C79,'Product Master'!$A$2:A$23,'Product Master'!$C$2:$C$23)</f>
        <v>Toys</v>
      </c>
      <c r="P79" t="str">
        <f t="shared" si="4"/>
        <v>NA</v>
      </c>
      <c r="Q79" t="str">
        <f>IFERROR(_xlfn.XLOOKUP(B79,'Customer Master'!$A$2:$A$50,'Customer Master'!$B$2:$B$50),"NOT FOUND")</f>
        <v>Noah Wilson</v>
      </c>
      <c r="R79" t="str" cm="1">
        <f t="array" ref="R79">_xlfn.IFS(P79="NA","NA",P79&lt;=2,"Fast",P79&gt;2,"Slow")</f>
        <v>NA</v>
      </c>
      <c r="S79" t="str">
        <f>_xlfn.XLOOKUP(C79,'Product Master'!$A$2:$A$23,'Product Master'!$B$2:$B$23)</f>
        <v>Action Figure</v>
      </c>
    </row>
    <row r="80" spans="1:19" x14ac:dyDescent="0.3">
      <c r="A80" s="16" t="s">
        <v>169</v>
      </c>
      <c r="B80" s="1" t="s">
        <v>153</v>
      </c>
      <c r="C80" s="1" t="s">
        <v>11</v>
      </c>
      <c r="D80" s="1" t="s">
        <v>12</v>
      </c>
      <c r="E80" s="1">
        <v>46</v>
      </c>
      <c r="F80" s="1">
        <v>1</v>
      </c>
      <c r="G80" s="1">
        <v>46</v>
      </c>
      <c r="H80" s="1" t="s">
        <v>28</v>
      </c>
      <c r="I80" s="1" t="s">
        <v>22</v>
      </c>
      <c r="J80" s="1" t="s">
        <v>25</v>
      </c>
      <c r="K80" s="2">
        <v>45017</v>
      </c>
      <c r="L80" s="2"/>
      <c r="M80" s="2"/>
      <c r="N80" t="str">
        <f t="shared" si="3"/>
        <v>NO</v>
      </c>
      <c r="O80" t="str" cm="1">
        <f t="array" ref="O80">_xlfn.XLOOKUP(C80,'Product Master'!$A$2:A$23,'Product Master'!$C$2:$C$23)</f>
        <v>Home</v>
      </c>
      <c r="P80" t="str">
        <f t="shared" si="4"/>
        <v>NA</v>
      </c>
      <c r="Q80" t="str">
        <f>IFERROR(_xlfn.XLOOKUP(B80,'Customer Master'!$A$2:$A$50,'Customer Master'!$B$2:$B$50),"NOT FOUND")</f>
        <v>Noah Wilson</v>
      </c>
      <c r="R80" t="str" cm="1">
        <f t="array" ref="R80">_xlfn.IFS(P80="NA","NA",P80&lt;=2,"Fast",P80&gt;2,"Slow")</f>
        <v>NA</v>
      </c>
      <c r="S80" t="str">
        <f>_xlfn.XLOOKUP(C80,'Product Master'!$A$2:$A$23,'Product Master'!$B$2:$B$23)</f>
        <v>Lamp</v>
      </c>
    </row>
    <row r="81" spans="1:19" x14ac:dyDescent="0.3">
      <c r="A81" s="16" t="s">
        <v>170</v>
      </c>
      <c r="B81" s="1" t="s">
        <v>113</v>
      </c>
      <c r="C81" s="1" t="s">
        <v>16</v>
      </c>
      <c r="D81" s="1" t="s">
        <v>17</v>
      </c>
      <c r="E81" s="1">
        <v>95</v>
      </c>
      <c r="F81" s="1">
        <v>4</v>
      </c>
      <c r="G81" s="1">
        <v>380</v>
      </c>
      <c r="H81" s="1" t="s">
        <v>18</v>
      </c>
      <c r="I81" s="1" t="s">
        <v>19</v>
      </c>
      <c r="J81" s="1" t="s">
        <v>25</v>
      </c>
      <c r="K81" s="2">
        <v>45215</v>
      </c>
      <c r="L81" s="2">
        <v>45218</v>
      </c>
      <c r="M81" s="2"/>
      <c r="N81" t="str">
        <f t="shared" si="3"/>
        <v>NO</v>
      </c>
      <c r="O81" t="str" cm="1">
        <f t="array" ref="O81">_xlfn.XLOOKUP(C81,'Product Master'!$A$2:A$23,'Product Master'!$C$2:$C$23)</f>
        <v>Toys</v>
      </c>
      <c r="P81">
        <f t="shared" si="4"/>
        <v>3</v>
      </c>
      <c r="Q81" t="str">
        <f>IFERROR(_xlfn.XLOOKUP(B81,'Customer Master'!$A$2:$A$50,'Customer Master'!$B$2:$B$50),"NOT FOUND")</f>
        <v>Luke Gray</v>
      </c>
      <c r="R81" t="str" cm="1">
        <f t="array" ref="R81">_xlfn.IFS(P81="NA","NA",P81&lt;=2,"Fast",P81&gt;2,"Slow")</f>
        <v>Slow</v>
      </c>
      <c r="S81" t="str">
        <f>_xlfn.XLOOKUP(C81,'Product Master'!$A$2:$A$23,'Product Master'!$B$2:$B$23)</f>
        <v>Doll House</v>
      </c>
    </row>
    <row r="82" spans="1:19" x14ac:dyDescent="0.3">
      <c r="A82" s="16" t="s">
        <v>171</v>
      </c>
      <c r="B82" s="1" t="s">
        <v>122</v>
      </c>
      <c r="C82" s="1" t="s">
        <v>47</v>
      </c>
      <c r="D82" s="1" t="s">
        <v>33</v>
      </c>
      <c r="E82" s="1">
        <v>174</v>
      </c>
      <c r="F82" s="1">
        <v>2</v>
      </c>
      <c r="G82" s="1">
        <v>348</v>
      </c>
      <c r="H82" s="1" t="s">
        <v>24</v>
      </c>
      <c r="I82" s="1" t="s">
        <v>22</v>
      </c>
      <c r="J82" s="1" t="s">
        <v>25</v>
      </c>
      <c r="K82" s="2">
        <v>45235</v>
      </c>
      <c r="L82" s="2"/>
      <c r="M82" s="2"/>
      <c r="N82" t="str">
        <f t="shared" si="3"/>
        <v>NO</v>
      </c>
      <c r="O82" t="str" cm="1">
        <f t="array" ref="O82">_xlfn.XLOOKUP(C82,'Product Master'!$A$2:A$23,'Product Master'!$C$2:$C$23)</f>
        <v>Electronics</v>
      </c>
      <c r="P82" t="str">
        <f t="shared" si="4"/>
        <v>NA</v>
      </c>
      <c r="Q82" t="str">
        <f>IFERROR(_xlfn.XLOOKUP(B82,'Customer Master'!$A$2:$A$50,'Customer Master'!$B$2:$B$50),"NOT FOUND")</f>
        <v>James Miller</v>
      </c>
      <c r="R82" t="str" cm="1">
        <f t="array" ref="R82">_xlfn.IFS(P82="NA","NA",P82&lt;=2,"Fast",P82&gt;2,"Slow")</f>
        <v>NA</v>
      </c>
      <c r="S82" t="str">
        <f>_xlfn.XLOOKUP(C82,'Product Master'!$A$2:$A$23,'Product Master'!$B$2:$B$23)</f>
        <v>Headphones</v>
      </c>
    </row>
    <row r="83" spans="1:19" x14ac:dyDescent="0.3">
      <c r="A83" s="16" t="s">
        <v>172</v>
      </c>
      <c r="B83" s="1" t="s">
        <v>73</v>
      </c>
      <c r="C83" s="1" t="s">
        <v>40</v>
      </c>
      <c r="D83" s="1" t="s">
        <v>12</v>
      </c>
      <c r="E83" s="1">
        <v>27</v>
      </c>
      <c r="F83" s="1">
        <v>5</v>
      </c>
      <c r="G83" s="1">
        <v>135</v>
      </c>
      <c r="H83" s="1" t="s">
        <v>18</v>
      </c>
      <c r="I83" s="1" t="s">
        <v>14</v>
      </c>
      <c r="J83" s="1" t="s">
        <v>27</v>
      </c>
      <c r="K83" s="2">
        <v>45092</v>
      </c>
      <c r="L83" s="2"/>
      <c r="M83" s="2">
        <v>45095</v>
      </c>
      <c r="N83" t="str">
        <f t="shared" si="3"/>
        <v>YES</v>
      </c>
      <c r="O83" t="str" cm="1">
        <f t="array" ref="O83">_xlfn.XLOOKUP(C83,'Product Master'!$A$2:A$23,'Product Master'!$C$2:$C$23)</f>
        <v>Fashion</v>
      </c>
      <c r="P83" t="str">
        <f t="shared" si="4"/>
        <v>NA</v>
      </c>
      <c r="Q83" t="str">
        <f>IFERROR(_xlfn.XLOOKUP(B83,'Customer Master'!$A$2:$A$50,'Customer Master'!$B$2:$B$50),"NOT FOUND")</f>
        <v>Emily Johnson</v>
      </c>
      <c r="R83" t="str" cm="1">
        <f t="array" ref="R83">_xlfn.IFS(P83="NA","NA",P83&lt;=2,"Fast",P83&gt;2,"Slow")</f>
        <v>NA</v>
      </c>
      <c r="S83" t="str">
        <f>_xlfn.XLOOKUP(C83,'Product Master'!$A$2:$A$23,'Product Master'!$B$2:$B$23)</f>
        <v>T-Shirt</v>
      </c>
    </row>
    <row r="84" spans="1:19" x14ac:dyDescent="0.3">
      <c r="A84" s="16" t="s">
        <v>173</v>
      </c>
      <c r="B84" s="1" t="s">
        <v>55</v>
      </c>
      <c r="C84" s="1" t="s">
        <v>40</v>
      </c>
      <c r="D84" s="1" t="s">
        <v>21</v>
      </c>
      <c r="E84" s="1">
        <v>27</v>
      </c>
      <c r="F84" s="1">
        <v>4</v>
      </c>
      <c r="G84" s="1">
        <v>108</v>
      </c>
      <c r="H84" s="1" t="s">
        <v>24</v>
      </c>
      <c r="I84" s="1" t="s">
        <v>19</v>
      </c>
      <c r="J84" s="1" t="s">
        <v>23</v>
      </c>
      <c r="K84" s="2">
        <v>45227</v>
      </c>
      <c r="L84" s="2">
        <v>45229</v>
      </c>
      <c r="M84" s="2"/>
      <c r="N84" t="str">
        <f t="shared" si="3"/>
        <v>NO</v>
      </c>
      <c r="O84" t="str" cm="1">
        <f t="array" ref="O84">_xlfn.XLOOKUP(C84,'Product Master'!$A$2:A$23,'Product Master'!$C$2:$C$23)</f>
        <v>Fashion</v>
      </c>
      <c r="P84">
        <f t="shared" si="4"/>
        <v>2</v>
      </c>
      <c r="Q84" t="str">
        <f>IFERROR(_xlfn.XLOOKUP(B84,'Customer Master'!$A$2:$A$50,'Customer Master'!$B$2:$B$50),"NOT FOUND")</f>
        <v>Zoe Mitchell</v>
      </c>
      <c r="R84" t="str" cm="1">
        <f t="array" ref="R84">_xlfn.IFS(P84="NA","NA",P84&lt;=2,"Fast",P84&gt;2,"Slow")</f>
        <v>Fast</v>
      </c>
      <c r="S84" t="str">
        <f>_xlfn.XLOOKUP(C84,'Product Master'!$A$2:$A$23,'Product Master'!$B$2:$B$23)</f>
        <v>T-Shirt</v>
      </c>
    </row>
    <row r="85" spans="1:19" x14ac:dyDescent="0.3">
      <c r="A85" s="16" t="s">
        <v>174</v>
      </c>
      <c r="B85" s="1" t="s">
        <v>175</v>
      </c>
      <c r="C85" s="1" t="s">
        <v>45</v>
      </c>
      <c r="D85" s="1" t="s">
        <v>21</v>
      </c>
      <c r="E85" s="1">
        <v>65</v>
      </c>
      <c r="F85" s="1">
        <v>2</v>
      </c>
      <c r="G85" s="1">
        <v>130</v>
      </c>
      <c r="H85" s="1" t="s">
        <v>24</v>
      </c>
      <c r="I85" s="1" t="s">
        <v>22</v>
      </c>
      <c r="J85" s="1" t="s">
        <v>15</v>
      </c>
      <c r="K85" s="2">
        <v>45282</v>
      </c>
      <c r="L85" s="2"/>
      <c r="M85" s="2"/>
      <c r="N85" t="str">
        <f t="shared" si="3"/>
        <v>NO</v>
      </c>
      <c r="O85" t="str" cm="1">
        <f t="array" ref="O85">_xlfn.XLOOKUP(C85,'Product Master'!$A$2:A$23,'Product Master'!$C$2:$C$23)</f>
        <v>Fashion</v>
      </c>
      <c r="P85" t="str">
        <f t="shared" si="4"/>
        <v>NA</v>
      </c>
      <c r="Q85" t="str">
        <f>IFERROR(_xlfn.XLOOKUP(B85,'Customer Master'!$A$2:$A$50,'Customer Master'!$B$2:$B$50),"NOT FOUND")</f>
        <v>Ava White</v>
      </c>
      <c r="R85" t="str" cm="1">
        <f t="array" ref="R85">_xlfn.IFS(P85="NA","NA",P85&lt;=2,"Fast",P85&gt;2,"Slow")</f>
        <v>NA</v>
      </c>
      <c r="S85" t="str">
        <f>_xlfn.XLOOKUP(C85,'Product Master'!$A$2:$A$23,'Product Master'!$B$2:$B$23)</f>
        <v>Backpack</v>
      </c>
    </row>
    <row r="86" spans="1:19" x14ac:dyDescent="0.3">
      <c r="A86" s="16" t="s">
        <v>176</v>
      </c>
      <c r="B86" s="1" t="s">
        <v>75</v>
      </c>
      <c r="C86" s="1" t="s">
        <v>34</v>
      </c>
      <c r="D86" s="1" t="s">
        <v>17</v>
      </c>
      <c r="E86" s="1">
        <v>43</v>
      </c>
      <c r="F86" s="1">
        <v>5</v>
      </c>
      <c r="G86" s="1">
        <v>215</v>
      </c>
      <c r="H86" s="1" t="s">
        <v>31</v>
      </c>
      <c r="I86" s="1" t="s">
        <v>22</v>
      </c>
      <c r="J86" s="1" t="s">
        <v>15</v>
      </c>
      <c r="K86" s="2">
        <v>44992</v>
      </c>
      <c r="L86" s="2"/>
      <c r="M86" s="2"/>
      <c r="N86" t="str">
        <f t="shared" si="3"/>
        <v>NO</v>
      </c>
      <c r="O86" t="str" cm="1">
        <f t="array" ref="O86">_xlfn.XLOOKUP(C86,'Product Master'!$A$2:A$23,'Product Master'!$C$2:$C$23)</f>
        <v>Fashion</v>
      </c>
      <c r="P86" t="str">
        <f t="shared" si="4"/>
        <v>NA</v>
      </c>
      <c r="Q86" t="str">
        <f>IFERROR(_xlfn.XLOOKUP(B86,'Customer Master'!$A$2:$A$50,'Customer Master'!$B$2:$B$50),"NOT FOUND")</f>
        <v>Emily Johnson</v>
      </c>
      <c r="R86" t="str" cm="1">
        <f t="array" ref="R86">_xlfn.IFS(P86="NA","NA",P86&lt;=2,"Fast",P86&gt;2,"Slow")</f>
        <v>NA</v>
      </c>
      <c r="S86" t="str">
        <f>_xlfn.XLOOKUP(C86,'Product Master'!$A$2:$A$23,'Product Master'!$B$2:$B$23)</f>
        <v>Formal Shirt</v>
      </c>
    </row>
    <row r="87" spans="1:19" x14ac:dyDescent="0.3">
      <c r="A87" s="16" t="s">
        <v>177</v>
      </c>
      <c r="B87" s="1" t="s">
        <v>103</v>
      </c>
      <c r="C87" s="1" t="s">
        <v>48</v>
      </c>
      <c r="D87" s="1" t="s">
        <v>33</v>
      </c>
      <c r="E87" s="1">
        <v>210</v>
      </c>
      <c r="F87" s="1">
        <v>1</v>
      </c>
      <c r="G87" s="1">
        <v>210</v>
      </c>
      <c r="H87" s="1" t="s">
        <v>24</v>
      </c>
      <c r="I87" s="1" t="s">
        <v>22</v>
      </c>
      <c r="J87" s="1" t="s">
        <v>25</v>
      </c>
      <c r="K87" s="2">
        <v>45240</v>
      </c>
      <c r="L87" s="2"/>
      <c r="M87" s="2"/>
      <c r="N87" t="str">
        <f t="shared" si="3"/>
        <v>NO</v>
      </c>
      <c r="O87" t="str" cm="1">
        <f t="array" ref="O87">_xlfn.XLOOKUP(C87,'Product Master'!$A$2:A$23,'Product Master'!$C$2:$C$23)</f>
        <v>Home</v>
      </c>
      <c r="P87" t="str">
        <f t="shared" si="4"/>
        <v>NA</v>
      </c>
      <c r="Q87" t="str">
        <f>IFERROR(_xlfn.XLOOKUP(B87,'Customer Master'!$A$2:$A$50,'Customer Master'!$B$2:$B$50),"NOT FOUND")</f>
        <v>Liam Walker</v>
      </c>
      <c r="R87" t="str" cm="1">
        <f t="array" ref="R87">_xlfn.IFS(P87="NA","NA",P87&lt;=2,"Fast",P87&gt;2,"Slow")</f>
        <v>NA</v>
      </c>
      <c r="S87" t="str">
        <f>_xlfn.XLOOKUP(C87,'Product Master'!$A$2:$A$23,'Product Master'!$B$2:$B$23)</f>
        <v>Cookware Set Pro</v>
      </c>
    </row>
    <row r="88" spans="1:19" x14ac:dyDescent="0.3">
      <c r="A88" s="16" t="s">
        <v>178</v>
      </c>
      <c r="B88" s="1" t="s">
        <v>179</v>
      </c>
      <c r="C88" s="1" t="s">
        <v>32</v>
      </c>
      <c r="D88" s="1" t="s">
        <v>21</v>
      </c>
      <c r="E88" s="1">
        <v>37</v>
      </c>
      <c r="F88" s="1">
        <v>3</v>
      </c>
      <c r="G88" s="1">
        <v>111</v>
      </c>
      <c r="H88" s="1" t="s">
        <v>18</v>
      </c>
      <c r="I88" s="1" t="s">
        <v>22</v>
      </c>
      <c r="J88" s="1" t="s">
        <v>25</v>
      </c>
      <c r="K88" s="2">
        <v>45252</v>
      </c>
      <c r="L88" s="2"/>
      <c r="M88" s="2"/>
      <c r="N88" t="str">
        <f t="shared" si="3"/>
        <v>NO</v>
      </c>
      <c r="O88" t="str" cm="1">
        <f t="array" ref="O88">_xlfn.XLOOKUP(C88,'Product Master'!$A$2:A$23,'Product Master'!$C$2:$C$23)</f>
        <v>Home</v>
      </c>
      <c r="P88" t="str">
        <f t="shared" si="4"/>
        <v>NA</v>
      </c>
      <c r="Q88" t="str">
        <f>IFERROR(_xlfn.XLOOKUP(B88,'Customer Master'!$A$2:$A$50,'Customer Master'!$B$2:$B$50),"NOT FOUND")</f>
        <v>Lily Reed</v>
      </c>
      <c r="R88" t="str" cm="1">
        <f t="array" ref="R88">_xlfn.IFS(P88="NA","NA",P88&lt;=2,"Fast",P88&gt;2,"Slow")</f>
        <v>NA</v>
      </c>
      <c r="S88" t="str">
        <f>_xlfn.XLOOKUP(C88,'Product Master'!$A$2:$A$23,'Product Master'!$B$2:$B$23)</f>
        <v>Wall Clock</v>
      </c>
    </row>
    <row r="89" spans="1:19" x14ac:dyDescent="0.3">
      <c r="A89" s="16" t="s">
        <v>180</v>
      </c>
      <c r="B89" s="1" t="s">
        <v>103</v>
      </c>
      <c r="C89" s="1" t="s">
        <v>43</v>
      </c>
      <c r="D89" s="1" t="s">
        <v>21</v>
      </c>
      <c r="E89" s="1">
        <v>788</v>
      </c>
      <c r="F89" s="1">
        <v>4</v>
      </c>
      <c r="G89" s="1">
        <v>3152</v>
      </c>
      <c r="H89" s="1" t="s">
        <v>31</v>
      </c>
      <c r="I89" s="1" t="s">
        <v>22</v>
      </c>
      <c r="J89" s="1" t="s">
        <v>27</v>
      </c>
      <c r="K89" s="2">
        <v>45054</v>
      </c>
      <c r="L89" s="2"/>
      <c r="M89" s="2"/>
      <c r="N89" t="str">
        <f t="shared" si="3"/>
        <v>NO</v>
      </c>
      <c r="O89" t="str" cm="1">
        <f t="array" ref="O89">_xlfn.XLOOKUP(C89,'Product Master'!$A$2:A$23,'Product Master'!$C$2:$C$23)</f>
        <v>Electronics</v>
      </c>
      <c r="P89" t="str">
        <f t="shared" si="4"/>
        <v>NA</v>
      </c>
      <c r="Q89" t="str">
        <f>IFERROR(_xlfn.XLOOKUP(B89,'Customer Master'!$A$2:$A$50,'Customer Master'!$B$2:$B$50),"NOT FOUND")</f>
        <v>Liam Walker</v>
      </c>
      <c r="R89" t="str" cm="1">
        <f t="array" ref="R89">_xlfn.IFS(P89="NA","NA",P89&lt;=2,"Fast",P89&gt;2,"Slow")</f>
        <v>NA</v>
      </c>
      <c r="S89" t="str">
        <f>_xlfn.XLOOKUP(C89,'Product Master'!$A$2:$A$23,'Product Master'!$B$2:$B$23)</f>
        <v>Smartphone</v>
      </c>
    </row>
    <row r="90" spans="1:19" x14ac:dyDescent="0.3">
      <c r="A90" s="16" t="s">
        <v>181</v>
      </c>
      <c r="B90" s="1" t="s">
        <v>103</v>
      </c>
      <c r="C90" s="1" t="s">
        <v>48</v>
      </c>
      <c r="D90" s="1" t="s">
        <v>33</v>
      </c>
      <c r="E90" s="1">
        <v>217</v>
      </c>
      <c r="F90" s="1">
        <v>5</v>
      </c>
      <c r="G90" s="1">
        <v>1085</v>
      </c>
      <c r="H90" s="1" t="s">
        <v>31</v>
      </c>
      <c r="I90" s="1" t="s">
        <v>22</v>
      </c>
      <c r="J90" s="1" t="s">
        <v>37</v>
      </c>
      <c r="K90" s="2">
        <v>45120</v>
      </c>
      <c r="L90" s="2"/>
      <c r="M90" s="2"/>
      <c r="N90" t="str">
        <f t="shared" si="3"/>
        <v>NO</v>
      </c>
      <c r="O90" t="str" cm="1">
        <f t="array" ref="O90">_xlfn.XLOOKUP(C90,'Product Master'!$A$2:A$23,'Product Master'!$C$2:$C$23)</f>
        <v>Home</v>
      </c>
      <c r="P90" t="str">
        <f t="shared" si="4"/>
        <v>NA</v>
      </c>
      <c r="Q90" t="str">
        <f>IFERROR(_xlfn.XLOOKUP(B90,'Customer Master'!$A$2:$A$50,'Customer Master'!$B$2:$B$50),"NOT FOUND")</f>
        <v>Liam Walker</v>
      </c>
      <c r="R90" t="str" cm="1">
        <f t="array" ref="R90">_xlfn.IFS(P90="NA","NA",P90&lt;=2,"Fast",P90&gt;2,"Slow")</f>
        <v>NA</v>
      </c>
      <c r="S90" t="str">
        <f>_xlfn.XLOOKUP(C90,'Product Master'!$A$2:$A$23,'Product Master'!$B$2:$B$23)</f>
        <v>Cookware Set Pro</v>
      </c>
    </row>
    <row r="91" spans="1:19" x14ac:dyDescent="0.3">
      <c r="A91" s="16" t="s">
        <v>182</v>
      </c>
      <c r="B91" s="1" t="s">
        <v>103</v>
      </c>
      <c r="C91" s="1" t="s">
        <v>35</v>
      </c>
      <c r="D91" s="1" t="s">
        <v>33</v>
      </c>
      <c r="E91" s="1">
        <v>138</v>
      </c>
      <c r="F91" s="1">
        <v>4</v>
      </c>
      <c r="G91" s="1">
        <v>552</v>
      </c>
      <c r="H91" s="1" t="s">
        <v>18</v>
      </c>
      <c r="I91" s="1" t="s">
        <v>22</v>
      </c>
      <c r="J91" s="1" t="s">
        <v>37</v>
      </c>
      <c r="K91" s="2">
        <v>44944</v>
      </c>
      <c r="L91" s="2"/>
      <c r="M91" s="2"/>
      <c r="N91" t="str">
        <f t="shared" si="3"/>
        <v>NO</v>
      </c>
      <c r="O91" t="str" cm="1">
        <f t="array" ref="O91">_xlfn.XLOOKUP(C91,'Product Master'!$A$2:A$23,'Product Master'!$C$2:$C$23)</f>
        <v>Home</v>
      </c>
      <c r="P91" t="str">
        <f t="shared" si="4"/>
        <v>NA</v>
      </c>
      <c r="Q91" t="str">
        <f>IFERROR(_xlfn.XLOOKUP(B91,'Customer Master'!$A$2:$A$50,'Customer Master'!$B$2:$B$50),"NOT FOUND")</f>
        <v>Liam Walker</v>
      </c>
      <c r="R91" t="str" cm="1">
        <f t="array" ref="R91">_xlfn.IFS(P91="NA","NA",P91&lt;=2,"Fast",P91&gt;2,"Slow")</f>
        <v>NA</v>
      </c>
      <c r="S91" t="str">
        <f>_xlfn.XLOOKUP(C91,'Product Master'!$A$2:$A$23,'Product Master'!$B$2:$B$23)</f>
        <v>Cookware Set</v>
      </c>
    </row>
    <row r="92" spans="1:19" x14ac:dyDescent="0.3">
      <c r="A92" s="16" t="s">
        <v>183</v>
      </c>
      <c r="B92" s="1" t="s">
        <v>184</v>
      </c>
      <c r="C92" s="1" t="s">
        <v>43</v>
      </c>
      <c r="D92" s="1" t="s">
        <v>30</v>
      </c>
      <c r="E92" s="1">
        <v>803</v>
      </c>
      <c r="F92" s="1">
        <v>2</v>
      </c>
      <c r="G92" s="1">
        <v>1606</v>
      </c>
      <c r="H92" s="1" t="s">
        <v>13</v>
      </c>
      <c r="I92" s="1" t="s">
        <v>19</v>
      </c>
      <c r="J92" s="1" t="s">
        <v>37</v>
      </c>
      <c r="K92" s="2">
        <v>45100</v>
      </c>
      <c r="L92" s="2">
        <v>45106</v>
      </c>
      <c r="M92" s="2"/>
      <c r="N92" t="str">
        <f t="shared" si="3"/>
        <v>NO</v>
      </c>
      <c r="O92" t="str" cm="1">
        <f t="array" ref="O92">_xlfn.XLOOKUP(C92,'Product Master'!$A$2:A$23,'Product Master'!$C$2:$C$23)</f>
        <v>Electronics</v>
      </c>
      <c r="P92">
        <f t="shared" si="4"/>
        <v>6</v>
      </c>
      <c r="Q92" t="str">
        <f>IFERROR(_xlfn.XLOOKUP(B92,'Customer Master'!$A$2:$A$50,'Customer Master'!$B$2:$B$50),"NOT FOUND")</f>
        <v>Mason Collins</v>
      </c>
      <c r="R92" t="str" cm="1">
        <f t="array" ref="R92">_xlfn.IFS(P92="NA","NA",P92&lt;=2,"Fast",P92&gt;2,"Slow")</f>
        <v>Slow</v>
      </c>
      <c r="S92" t="str">
        <f>_xlfn.XLOOKUP(C92,'Product Master'!$A$2:$A$23,'Product Master'!$B$2:$B$23)</f>
        <v>Smartphone</v>
      </c>
    </row>
    <row r="93" spans="1:19" x14ac:dyDescent="0.3">
      <c r="A93" s="16" t="s">
        <v>185</v>
      </c>
      <c r="B93" s="1" t="s">
        <v>70</v>
      </c>
      <c r="C93" s="1" t="s">
        <v>36</v>
      </c>
      <c r="D93" s="1" t="s">
        <v>12</v>
      </c>
      <c r="E93" s="1">
        <v>248</v>
      </c>
      <c r="F93" s="1">
        <v>5</v>
      </c>
      <c r="G93" s="1">
        <v>1240</v>
      </c>
      <c r="H93" s="1" t="s">
        <v>24</v>
      </c>
      <c r="I93" s="1" t="s">
        <v>14</v>
      </c>
      <c r="J93" s="1" t="s">
        <v>25</v>
      </c>
      <c r="K93" s="2">
        <v>44978</v>
      </c>
      <c r="L93" s="2"/>
      <c r="M93" s="2">
        <v>44982</v>
      </c>
      <c r="N93" t="str">
        <f t="shared" si="3"/>
        <v>YES</v>
      </c>
      <c r="O93" t="str" cm="1">
        <f t="array" ref="O93">_xlfn.XLOOKUP(C93,'Product Master'!$A$2:A$23,'Product Master'!$C$2:$C$23)</f>
        <v>Electronics</v>
      </c>
      <c r="P93" t="str">
        <f t="shared" si="4"/>
        <v>NA</v>
      </c>
      <c r="Q93" t="str">
        <f>IFERROR(_xlfn.XLOOKUP(B93,'Customer Master'!$A$2:$A$50,'Customer Master'!$B$2:$B$50),"NOT FOUND")</f>
        <v>Olivia Martinez</v>
      </c>
      <c r="R93" t="str" cm="1">
        <f t="array" ref="R93">_xlfn.IFS(P93="NA","NA",P93&lt;=2,"Fast",P93&gt;2,"Slow")</f>
        <v>NA</v>
      </c>
      <c r="S93" t="str">
        <f>_xlfn.XLOOKUP(C93,'Product Master'!$A$2:$A$23,'Product Master'!$B$2:$B$23)</f>
        <v>Smartwatch</v>
      </c>
    </row>
    <row r="94" spans="1:19" x14ac:dyDescent="0.3">
      <c r="A94" s="16" t="s">
        <v>186</v>
      </c>
      <c r="B94" s="1" t="s">
        <v>187</v>
      </c>
      <c r="C94" s="1" t="s">
        <v>48</v>
      </c>
      <c r="D94" s="1" t="s">
        <v>17</v>
      </c>
      <c r="E94" s="1">
        <v>210</v>
      </c>
      <c r="F94" s="1">
        <v>3</v>
      </c>
      <c r="G94" s="1">
        <v>630</v>
      </c>
      <c r="H94" s="1" t="s">
        <v>13</v>
      </c>
      <c r="I94" s="1" t="s">
        <v>19</v>
      </c>
      <c r="J94" s="1" t="s">
        <v>15</v>
      </c>
      <c r="K94" s="2">
        <v>44976</v>
      </c>
      <c r="L94" s="2">
        <v>44978</v>
      </c>
      <c r="M94" s="2"/>
      <c r="N94" t="str">
        <f t="shared" si="3"/>
        <v>NO</v>
      </c>
      <c r="O94" t="str" cm="1">
        <f t="array" ref="O94">_xlfn.XLOOKUP(C94,'Product Master'!$A$2:A$23,'Product Master'!$C$2:$C$23)</f>
        <v>Home</v>
      </c>
      <c r="P94">
        <f t="shared" si="4"/>
        <v>2</v>
      </c>
      <c r="Q94" t="str">
        <f>IFERROR(_xlfn.XLOOKUP(B94,'Customer Master'!$A$2:$A$50,'Customer Master'!$B$2:$B$50),"NOT FOUND")</f>
        <v>Ethan Davis</v>
      </c>
      <c r="R94" t="str" cm="1">
        <f t="array" ref="R94">_xlfn.IFS(P94="NA","NA",P94&lt;=2,"Fast",P94&gt;2,"Slow")</f>
        <v>Fast</v>
      </c>
      <c r="S94" t="str">
        <f>_xlfn.XLOOKUP(C94,'Product Master'!$A$2:$A$23,'Product Master'!$B$2:$B$23)</f>
        <v>Cookware Set Pro</v>
      </c>
    </row>
    <row r="95" spans="1:19" x14ac:dyDescent="0.3">
      <c r="A95" s="16" t="s">
        <v>188</v>
      </c>
      <c r="B95" s="1" t="s">
        <v>70</v>
      </c>
      <c r="C95" s="1" t="s">
        <v>50</v>
      </c>
      <c r="D95" s="1" t="s">
        <v>12</v>
      </c>
      <c r="E95" s="1">
        <v>62</v>
      </c>
      <c r="F95" s="1">
        <v>2</v>
      </c>
      <c r="G95" s="1">
        <v>124</v>
      </c>
      <c r="H95" s="1" t="s">
        <v>18</v>
      </c>
      <c r="I95" s="1" t="s">
        <v>14</v>
      </c>
      <c r="J95" s="1" t="s">
        <v>37</v>
      </c>
      <c r="K95" s="2">
        <v>45265</v>
      </c>
      <c r="L95" s="2"/>
      <c r="M95" s="2">
        <v>45272</v>
      </c>
      <c r="N95" t="str">
        <f t="shared" si="3"/>
        <v>YES</v>
      </c>
      <c r="O95" t="str" cm="1">
        <f t="array" ref="O95">_xlfn.XLOOKUP(C95,'Product Master'!$A$2:A$23,'Product Master'!$C$2:$C$23)</f>
        <v>Toys</v>
      </c>
      <c r="P95" t="str">
        <f t="shared" si="4"/>
        <v>NA</v>
      </c>
      <c r="Q95" t="str">
        <f>IFERROR(_xlfn.XLOOKUP(B95,'Customer Master'!$A$2:$A$50,'Customer Master'!$B$2:$B$50),"NOT FOUND")</f>
        <v>Olivia Martinez</v>
      </c>
      <c r="R95" t="str" cm="1">
        <f t="array" ref="R95">_xlfn.IFS(P95="NA","NA",P95&lt;=2,"Fast",P95&gt;2,"Slow")</f>
        <v>NA</v>
      </c>
      <c r="S95" t="str">
        <f>_xlfn.XLOOKUP(C95,'Product Master'!$A$2:$A$23,'Product Master'!$B$2:$B$23)</f>
        <v>Leg Set</v>
      </c>
    </row>
    <row r="96" spans="1:19" x14ac:dyDescent="0.3">
      <c r="A96" s="16" t="s">
        <v>189</v>
      </c>
      <c r="B96" s="1" t="s">
        <v>179</v>
      </c>
      <c r="C96" s="1" t="s">
        <v>46</v>
      </c>
      <c r="D96" s="1" t="s">
        <v>21</v>
      </c>
      <c r="E96" s="1">
        <v>11</v>
      </c>
      <c r="F96" s="1">
        <v>5</v>
      </c>
      <c r="G96" s="1">
        <v>55</v>
      </c>
      <c r="H96" s="1" t="s">
        <v>31</v>
      </c>
      <c r="I96" s="1" t="s">
        <v>14</v>
      </c>
      <c r="J96" s="1" t="s">
        <v>27</v>
      </c>
      <c r="K96" s="2">
        <v>45084</v>
      </c>
      <c r="L96" s="2"/>
      <c r="M96" s="2">
        <v>45089</v>
      </c>
      <c r="N96" t="str">
        <f t="shared" si="3"/>
        <v>YES</v>
      </c>
      <c r="O96" t="str" cm="1">
        <f t="array" ref="O96">_xlfn.XLOOKUP(C96,'Product Master'!$A$2:A$23,'Product Master'!$C$2:$C$23)</f>
        <v>Books</v>
      </c>
      <c r="P96" t="str">
        <f t="shared" si="4"/>
        <v>NA</v>
      </c>
      <c r="Q96" t="str">
        <f>IFERROR(_xlfn.XLOOKUP(B96,'Customer Master'!$A$2:$A$50,'Customer Master'!$B$2:$B$50),"NOT FOUND")</f>
        <v>Lily Reed</v>
      </c>
      <c r="R96" t="str" cm="1">
        <f t="array" ref="R96">_xlfn.IFS(P96="NA","NA",P96&lt;=2,"Fast",P96&gt;2,"Slow")</f>
        <v>NA</v>
      </c>
      <c r="S96" t="str">
        <f>_xlfn.XLOOKUP(C96,'Product Master'!$A$2:$A$23,'Product Master'!$B$2:$B$23)</f>
        <v>Magazine</v>
      </c>
    </row>
    <row r="97" spans="1:19" x14ac:dyDescent="0.3">
      <c r="A97" s="16" t="s">
        <v>190</v>
      </c>
      <c r="B97" s="1" t="s">
        <v>140</v>
      </c>
      <c r="C97" s="1" t="s">
        <v>41</v>
      </c>
      <c r="D97" s="1" t="s">
        <v>12</v>
      </c>
      <c r="E97" s="1">
        <v>21</v>
      </c>
      <c r="F97" s="1">
        <v>2</v>
      </c>
      <c r="G97" s="1">
        <v>42</v>
      </c>
      <c r="H97" s="1" t="s">
        <v>28</v>
      </c>
      <c r="I97" s="1" t="s">
        <v>19</v>
      </c>
      <c r="J97" s="1" t="s">
        <v>25</v>
      </c>
      <c r="K97" s="2">
        <v>45116</v>
      </c>
      <c r="L97" s="2">
        <v>45119</v>
      </c>
      <c r="M97" s="2"/>
      <c r="N97" t="str">
        <f t="shared" si="3"/>
        <v>NO</v>
      </c>
      <c r="O97" t="str" cm="1">
        <f t="array" ref="O97">_xlfn.XLOOKUP(C97,'Product Master'!$A$2:A$23,'Product Master'!$C$2:$C$23)</f>
        <v>Books</v>
      </c>
      <c r="P97">
        <f t="shared" si="4"/>
        <v>3</v>
      </c>
      <c r="Q97" t="str">
        <f>IFERROR(_xlfn.XLOOKUP(B97,'Customer Master'!$A$2:$A$50,'Customer Master'!$B$2:$B$50),"NOT FOUND")</f>
        <v>Emma King</v>
      </c>
      <c r="R97" t="str" cm="1">
        <f t="array" ref="R97">_xlfn.IFS(P97="NA","NA",P97&lt;=2,"Fast",P97&gt;2,"Slow")</f>
        <v>Slow</v>
      </c>
      <c r="S97" t="str">
        <f>_xlfn.XLOOKUP(C97,'Product Master'!$A$2:$A$23,'Product Master'!$B$2:$B$23)</f>
        <v>Novel</v>
      </c>
    </row>
    <row r="98" spans="1:19" x14ac:dyDescent="0.3">
      <c r="A98" s="16" t="s">
        <v>191</v>
      </c>
      <c r="B98" s="1" t="s">
        <v>77</v>
      </c>
      <c r="C98" s="1" t="s">
        <v>16</v>
      </c>
      <c r="D98" s="1" t="s">
        <v>33</v>
      </c>
      <c r="E98" s="1">
        <v>95</v>
      </c>
      <c r="F98" s="1">
        <v>5</v>
      </c>
      <c r="G98" s="1">
        <v>475</v>
      </c>
      <c r="H98" s="1" t="s">
        <v>28</v>
      </c>
      <c r="I98" s="1" t="s">
        <v>19</v>
      </c>
      <c r="J98" s="1" t="s">
        <v>27</v>
      </c>
      <c r="K98" s="2">
        <v>45283</v>
      </c>
      <c r="L98" s="2">
        <v>45286</v>
      </c>
      <c r="M98" s="2"/>
      <c r="N98" t="str">
        <f t="shared" ref="N98:N101" si="5">IF(OR(I98="cancelled",M98&lt;&gt;""),"YES","NO")</f>
        <v>NO</v>
      </c>
      <c r="O98" t="str" cm="1">
        <f t="array" ref="O98">_xlfn.XLOOKUP(C98,'Product Master'!$A$2:A$23,'Product Master'!$C$2:$C$23)</f>
        <v>Toys</v>
      </c>
      <c r="P98">
        <f t="shared" si="4"/>
        <v>3</v>
      </c>
      <c r="Q98" t="str">
        <f>IFERROR(_xlfn.XLOOKUP(B98,'Customer Master'!$A$2:$A$50,'Customer Master'!$B$2:$B$50),"NOT FOUND")</f>
        <v>Charlotte Reed</v>
      </c>
      <c r="R98" t="str" cm="1">
        <f t="array" ref="R98">_xlfn.IFS(P98="NA","NA",P98&lt;=2,"Fast",P98&gt;2,"Slow")</f>
        <v>Slow</v>
      </c>
      <c r="S98" t="str">
        <f>_xlfn.XLOOKUP(C98,'Product Master'!$A$2:$A$23,'Product Master'!$B$2:$B$23)</f>
        <v>Doll House</v>
      </c>
    </row>
    <row r="99" spans="1:19" x14ac:dyDescent="0.3">
      <c r="A99" s="16" t="s">
        <v>192</v>
      </c>
      <c r="B99" s="1" t="s">
        <v>60</v>
      </c>
      <c r="C99" s="1" t="s">
        <v>48</v>
      </c>
      <c r="D99" s="1" t="s">
        <v>21</v>
      </c>
      <c r="E99" s="1">
        <v>215</v>
      </c>
      <c r="F99" s="1">
        <v>2</v>
      </c>
      <c r="G99" s="1">
        <v>430</v>
      </c>
      <c r="H99" s="1" t="s">
        <v>24</v>
      </c>
      <c r="I99" s="1" t="s">
        <v>19</v>
      </c>
      <c r="J99" s="1" t="s">
        <v>27</v>
      </c>
      <c r="K99" s="2">
        <v>45194</v>
      </c>
      <c r="L99" s="2">
        <v>45199</v>
      </c>
      <c r="M99" s="2"/>
      <c r="N99" t="str">
        <f t="shared" si="5"/>
        <v>NO</v>
      </c>
      <c r="O99" t="str" cm="1">
        <f t="array" ref="O99">_xlfn.XLOOKUP(C99,'Product Master'!$A$2:A$23,'Product Master'!$C$2:$C$23)</f>
        <v>Home</v>
      </c>
      <c r="P99">
        <f t="shared" si="4"/>
        <v>5</v>
      </c>
      <c r="Q99" t="str">
        <f>IFERROR(_xlfn.XLOOKUP(B99,'Customer Master'!$A$2:$A$50,'Customer Master'!$B$2:$B$50),"NOT FOUND")</f>
        <v>Grace Ward</v>
      </c>
      <c r="R99" t="str" cm="1">
        <f t="array" ref="R99">_xlfn.IFS(P99="NA","NA",P99&lt;=2,"Fast",P99&gt;2,"Slow")</f>
        <v>Slow</v>
      </c>
      <c r="S99" t="str">
        <f>_xlfn.XLOOKUP(C99,'Product Master'!$A$2:$A$23,'Product Master'!$B$2:$B$23)</f>
        <v>Cookware Set Pro</v>
      </c>
    </row>
    <row r="100" spans="1:19" x14ac:dyDescent="0.3">
      <c r="A100" s="16" t="s">
        <v>193</v>
      </c>
      <c r="B100" s="1" t="s">
        <v>194</v>
      </c>
      <c r="C100" s="1" t="s">
        <v>34</v>
      </c>
      <c r="D100" s="1" t="s">
        <v>33</v>
      </c>
      <c r="E100" s="1">
        <v>43</v>
      </c>
      <c r="F100" s="1">
        <v>5</v>
      </c>
      <c r="G100" s="1">
        <v>215</v>
      </c>
      <c r="H100" s="1" t="s">
        <v>18</v>
      </c>
      <c r="I100" s="1" t="s">
        <v>14</v>
      </c>
      <c r="J100" s="1" t="s">
        <v>25</v>
      </c>
      <c r="K100" s="2">
        <v>44944</v>
      </c>
      <c r="L100" s="2"/>
      <c r="M100" s="2">
        <v>44950</v>
      </c>
      <c r="N100" t="str">
        <f t="shared" si="5"/>
        <v>YES</v>
      </c>
      <c r="O100" t="str" cm="1">
        <f t="array" ref="O100">_xlfn.XLOOKUP(C100,'Product Master'!$A$2:A$23,'Product Master'!$C$2:$C$23)</f>
        <v>Fashion</v>
      </c>
      <c r="P100" t="str">
        <f t="shared" si="4"/>
        <v>NA</v>
      </c>
      <c r="Q100" t="str">
        <f>IFERROR(_xlfn.XLOOKUP(B100,'Customer Master'!$A$2:$A$50,'Customer Master'!$B$2:$B$50),"NOT FOUND")</f>
        <v>Lily Simmons</v>
      </c>
      <c r="R100" t="str" cm="1">
        <f t="array" ref="R100">_xlfn.IFS(P100="NA","NA",P100&lt;=2,"Fast",P100&gt;2,"Slow")</f>
        <v>NA</v>
      </c>
      <c r="S100" t="str">
        <f>_xlfn.XLOOKUP(C100,'Product Master'!$A$2:$A$23,'Product Master'!$B$2:$B$23)</f>
        <v>Formal Shirt</v>
      </c>
    </row>
    <row r="101" spans="1:19" x14ac:dyDescent="0.3">
      <c r="A101" s="16" t="s">
        <v>195</v>
      </c>
      <c r="B101" s="1" t="s">
        <v>64</v>
      </c>
      <c r="C101" s="1" t="s">
        <v>44</v>
      </c>
      <c r="D101" s="1" t="s">
        <v>33</v>
      </c>
      <c r="E101" s="1">
        <v>42</v>
      </c>
      <c r="F101" s="1">
        <v>4</v>
      </c>
      <c r="G101" s="1">
        <v>168</v>
      </c>
      <c r="H101" s="1" t="s">
        <v>31</v>
      </c>
      <c r="I101" s="1" t="s">
        <v>22</v>
      </c>
      <c r="J101" s="1" t="s">
        <v>15</v>
      </c>
      <c r="K101" s="2">
        <v>45012</v>
      </c>
      <c r="L101" s="2"/>
      <c r="M101" s="2"/>
      <c r="N101" t="str">
        <f t="shared" si="5"/>
        <v>NO</v>
      </c>
      <c r="O101" t="str" cm="1">
        <f t="array" ref="O101">_xlfn.XLOOKUP(C101,'Product Master'!$A$2:A$23,'Product Master'!$C$2:$C$23)</f>
        <v>Toys</v>
      </c>
      <c r="P101" t="str">
        <f t="shared" si="4"/>
        <v>NA</v>
      </c>
      <c r="Q101" t="str">
        <f>IFERROR(_xlfn.XLOOKUP(B101,'Customer Master'!$A$2:$A$50,'Customer Master'!$B$2:$B$50),"NOT FOUND")</f>
        <v>Jackson Allen</v>
      </c>
      <c r="R101" t="str" cm="1">
        <f t="array" ref="R101">_xlfn.IFS(P101="NA","NA",P101&lt;=2,"Fast",P101&gt;2,"Slow")</f>
        <v>NA</v>
      </c>
      <c r="S101" t="str">
        <f>_xlfn.XLOOKUP(C101,'Product Master'!$A$2:$A$23,'Product Master'!$B$2:$B$23)</f>
        <v>Action Figure</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8BD3-C2BD-488D-B896-0D603690AA21}">
  <dimension ref="A1:E23"/>
  <sheetViews>
    <sheetView workbookViewId="0">
      <selection activeCell="C1" sqref="C1"/>
    </sheetView>
  </sheetViews>
  <sheetFormatPr defaultRowHeight="14.4" x14ac:dyDescent="0.3"/>
  <cols>
    <col min="1" max="1" width="9.88671875" bestFit="1" customWidth="1"/>
    <col min="2" max="2" width="16.109375" bestFit="1" customWidth="1"/>
    <col min="3" max="3" width="9.88671875" bestFit="1" customWidth="1"/>
    <col min="4" max="4" width="9.21875" bestFit="1" customWidth="1"/>
    <col min="5" max="5" width="46.6640625" bestFit="1" customWidth="1"/>
  </cols>
  <sheetData>
    <row r="1" spans="1:5" x14ac:dyDescent="0.3">
      <c r="A1" s="4" t="s">
        <v>0</v>
      </c>
      <c r="B1" s="4" t="s">
        <v>53</v>
      </c>
      <c r="C1" s="4" t="s">
        <v>196</v>
      </c>
      <c r="D1" s="5" t="s">
        <v>197</v>
      </c>
      <c r="E1" s="4" t="s">
        <v>198</v>
      </c>
    </row>
    <row r="2" spans="1:5" x14ac:dyDescent="0.3">
      <c r="A2" s="6" t="s">
        <v>43</v>
      </c>
      <c r="B2" s="6" t="s">
        <v>199</v>
      </c>
      <c r="C2" s="6" t="s">
        <v>200</v>
      </c>
      <c r="D2" s="7">
        <v>749</v>
      </c>
      <c r="E2" s="6" t="s">
        <v>201</v>
      </c>
    </row>
    <row r="3" spans="1:5" x14ac:dyDescent="0.3">
      <c r="A3" s="6" t="s">
        <v>44</v>
      </c>
      <c r="B3" s="6" t="s">
        <v>202</v>
      </c>
      <c r="C3" s="6" t="s">
        <v>203</v>
      </c>
      <c r="D3" s="7">
        <v>39</v>
      </c>
      <c r="E3" s="6" t="s">
        <v>204</v>
      </c>
    </row>
    <row r="4" spans="1:5" x14ac:dyDescent="0.3">
      <c r="A4" s="6" t="s">
        <v>35</v>
      </c>
      <c r="B4" s="6" t="s">
        <v>205</v>
      </c>
      <c r="C4" s="6" t="s">
        <v>206</v>
      </c>
      <c r="D4" s="7">
        <v>129</v>
      </c>
      <c r="E4" s="6" t="s">
        <v>207</v>
      </c>
    </row>
    <row r="5" spans="1:5" x14ac:dyDescent="0.3">
      <c r="A5" s="6" t="s">
        <v>50</v>
      </c>
      <c r="B5" s="6" t="s">
        <v>208</v>
      </c>
      <c r="C5" s="6" t="s">
        <v>203</v>
      </c>
      <c r="D5" s="7">
        <v>59</v>
      </c>
      <c r="E5" s="6" t="s">
        <v>209</v>
      </c>
    </row>
    <row r="6" spans="1:5" x14ac:dyDescent="0.3">
      <c r="A6" s="6" t="s">
        <v>40</v>
      </c>
      <c r="B6" s="6" t="s">
        <v>210</v>
      </c>
      <c r="C6" s="6" t="s">
        <v>211</v>
      </c>
      <c r="D6" s="7">
        <v>25</v>
      </c>
      <c r="E6" s="6" t="s">
        <v>212</v>
      </c>
    </row>
    <row r="7" spans="1:5" x14ac:dyDescent="0.3">
      <c r="A7" s="6" t="s">
        <v>38</v>
      </c>
      <c r="B7" s="6" t="s">
        <v>213</v>
      </c>
      <c r="C7" s="6" t="s">
        <v>211</v>
      </c>
      <c r="D7" s="7">
        <v>89</v>
      </c>
      <c r="E7" s="6" t="s">
        <v>214</v>
      </c>
    </row>
    <row r="8" spans="1:5" x14ac:dyDescent="0.3">
      <c r="A8" s="6" t="s">
        <v>49</v>
      </c>
      <c r="B8" s="6" t="s">
        <v>215</v>
      </c>
      <c r="C8" s="6" t="s">
        <v>203</v>
      </c>
      <c r="D8" s="7">
        <v>29</v>
      </c>
      <c r="E8" s="6" t="s">
        <v>216</v>
      </c>
    </row>
    <row r="9" spans="1:5" x14ac:dyDescent="0.3">
      <c r="A9" s="6" t="s">
        <v>42</v>
      </c>
      <c r="B9" s="6" t="s">
        <v>217</v>
      </c>
      <c r="C9" s="6" t="s">
        <v>218</v>
      </c>
      <c r="D9" s="7">
        <v>65</v>
      </c>
      <c r="E9" s="6" t="s">
        <v>219</v>
      </c>
    </row>
    <row r="10" spans="1:5" x14ac:dyDescent="0.3">
      <c r="A10" s="6" t="s">
        <v>46</v>
      </c>
      <c r="B10" s="6" t="s">
        <v>220</v>
      </c>
      <c r="C10" s="6" t="s">
        <v>218</v>
      </c>
      <c r="D10" s="7">
        <v>10</v>
      </c>
      <c r="E10" s="6" t="s">
        <v>221</v>
      </c>
    </row>
    <row r="11" spans="1:5" x14ac:dyDescent="0.3">
      <c r="A11" s="6" t="s">
        <v>26</v>
      </c>
      <c r="B11" s="6" t="s">
        <v>222</v>
      </c>
      <c r="C11" s="6" t="s">
        <v>211</v>
      </c>
      <c r="D11" s="7">
        <v>55</v>
      </c>
      <c r="E11" s="6" t="s">
        <v>223</v>
      </c>
    </row>
    <row r="12" spans="1:5" x14ac:dyDescent="0.3">
      <c r="A12" s="6" t="s">
        <v>47</v>
      </c>
      <c r="B12" s="6" t="s">
        <v>224</v>
      </c>
      <c r="C12" s="6" t="s">
        <v>200</v>
      </c>
      <c r="D12" s="7">
        <v>159</v>
      </c>
      <c r="E12" s="6" t="s">
        <v>225</v>
      </c>
    </row>
    <row r="13" spans="1:5" x14ac:dyDescent="0.3">
      <c r="A13" s="6" t="s">
        <v>11</v>
      </c>
      <c r="B13" s="6" t="s">
        <v>226</v>
      </c>
      <c r="C13" s="6" t="s">
        <v>206</v>
      </c>
      <c r="D13" s="7">
        <v>42</v>
      </c>
      <c r="E13" s="6" t="s">
        <v>227</v>
      </c>
    </row>
    <row r="14" spans="1:5" x14ac:dyDescent="0.3">
      <c r="A14" s="6" t="s">
        <v>20</v>
      </c>
      <c r="B14" s="6" t="s">
        <v>228</v>
      </c>
      <c r="C14" s="6" t="s">
        <v>206</v>
      </c>
      <c r="D14" s="7">
        <v>185</v>
      </c>
      <c r="E14" s="6" t="s">
        <v>229</v>
      </c>
    </row>
    <row r="15" spans="1:5" x14ac:dyDescent="0.3">
      <c r="A15" s="6" t="s">
        <v>36</v>
      </c>
      <c r="B15" s="6" t="s">
        <v>230</v>
      </c>
      <c r="C15" s="6" t="s">
        <v>200</v>
      </c>
      <c r="D15" s="7">
        <v>229</v>
      </c>
      <c r="E15" s="6" t="s">
        <v>231</v>
      </c>
    </row>
    <row r="16" spans="1:5" x14ac:dyDescent="0.3">
      <c r="A16" s="6" t="s">
        <v>41</v>
      </c>
      <c r="B16" s="6" t="s">
        <v>232</v>
      </c>
      <c r="C16" s="6" t="s">
        <v>218</v>
      </c>
      <c r="D16" s="7">
        <v>20</v>
      </c>
      <c r="E16" s="6" t="s">
        <v>233</v>
      </c>
    </row>
    <row r="17" spans="1:5" x14ac:dyDescent="0.3">
      <c r="A17" s="6" t="s">
        <v>48</v>
      </c>
      <c r="B17" s="6" t="s">
        <v>234</v>
      </c>
      <c r="C17" s="6" t="s">
        <v>206</v>
      </c>
      <c r="D17" s="7">
        <v>199</v>
      </c>
      <c r="E17" s="6" t="s">
        <v>235</v>
      </c>
    </row>
    <row r="18" spans="1:5" x14ac:dyDescent="0.3">
      <c r="A18" s="6" t="s">
        <v>39</v>
      </c>
      <c r="B18" s="6" t="s">
        <v>236</v>
      </c>
      <c r="C18" s="6" t="s">
        <v>200</v>
      </c>
      <c r="D18" s="7">
        <v>69</v>
      </c>
      <c r="E18" s="6" t="s">
        <v>237</v>
      </c>
    </row>
    <row r="19" spans="1:5" x14ac:dyDescent="0.3">
      <c r="A19" s="6" t="s">
        <v>16</v>
      </c>
      <c r="B19" s="6" t="s">
        <v>238</v>
      </c>
      <c r="C19" s="6" t="s">
        <v>203</v>
      </c>
      <c r="D19" s="7">
        <v>89</v>
      </c>
      <c r="E19" s="6" t="s">
        <v>239</v>
      </c>
    </row>
    <row r="20" spans="1:5" x14ac:dyDescent="0.3">
      <c r="A20" s="6" t="s">
        <v>34</v>
      </c>
      <c r="B20" s="6" t="s">
        <v>240</v>
      </c>
      <c r="C20" s="6" t="s">
        <v>211</v>
      </c>
      <c r="D20" s="7">
        <v>40</v>
      </c>
      <c r="E20" s="6" t="s">
        <v>241</v>
      </c>
    </row>
    <row r="21" spans="1:5" x14ac:dyDescent="0.3">
      <c r="A21" s="6" t="s">
        <v>29</v>
      </c>
      <c r="B21" s="6" t="s">
        <v>242</v>
      </c>
      <c r="C21" s="6" t="s">
        <v>200</v>
      </c>
      <c r="D21" s="7">
        <v>99</v>
      </c>
      <c r="E21" s="6" t="s">
        <v>243</v>
      </c>
    </row>
    <row r="22" spans="1:5" x14ac:dyDescent="0.3">
      <c r="A22" s="6" t="s">
        <v>32</v>
      </c>
      <c r="B22" s="6" t="s">
        <v>244</v>
      </c>
      <c r="C22" s="6" t="s">
        <v>206</v>
      </c>
      <c r="D22" s="7">
        <v>34</v>
      </c>
      <c r="E22" s="6" t="s">
        <v>245</v>
      </c>
    </row>
    <row r="23" spans="1:5" x14ac:dyDescent="0.3">
      <c r="A23" s="6" t="s">
        <v>45</v>
      </c>
      <c r="B23" s="6" t="s">
        <v>246</v>
      </c>
      <c r="C23" s="6" t="s">
        <v>211</v>
      </c>
      <c r="D23" s="7">
        <v>60</v>
      </c>
      <c r="E23" s="6" t="s">
        <v>247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D3A4-D577-4BA3-8B29-52E93DB898F3}">
  <dimension ref="A1:B6"/>
  <sheetViews>
    <sheetView workbookViewId="0">
      <selection activeCell="H11" sqref="H11"/>
    </sheetView>
  </sheetViews>
  <sheetFormatPr defaultRowHeight="14.4" x14ac:dyDescent="0.3"/>
  <cols>
    <col min="1" max="1" width="6.88671875" bestFit="1" customWidth="1"/>
    <col min="2" max="2" width="11" bestFit="1" customWidth="1"/>
  </cols>
  <sheetData>
    <row r="1" spans="1:2" x14ac:dyDescent="0.3">
      <c r="A1" s="4" t="s">
        <v>1</v>
      </c>
      <c r="B1" s="4" t="s">
        <v>248</v>
      </c>
    </row>
    <row r="2" spans="1:2" x14ac:dyDescent="0.3">
      <c r="A2" s="6" t="s">
        <v>30</v>
      </c>
      <c r="B2" s="8">
        <v>97500</v>
      </c>
    </row>
    <row r="3" spans="1:2" x14ac:dyDescent="0.3">
      <c r="A3" s="6" t="s">
        <v>17</v>
      </c>
      <c r="B3" s="8">
        <v>50500</v>
      </c>
    </row>
    <row r="4" spans="1:2" x14ac:dyDescent="0.3">
      <c r="A4" s="6" t="s">
        <v>12</v>
      </c>
      <c r="B4" s="8">
        <v>105000</v>
      </c>
    </row>
    <row r="5" spans="1:2" x14ac:dyDescent="0.3">
      <c r="A5" s="6" t="s">
        <v>21</v>
      </c>
      <c r="B5" s="8">
        <v>91500</v>
      </c>
    </row>
    <row r="6" spans="1:2" x14ac:dyDescent="0.3">
      <c r="A6" s="6" t="s">
        <v>33</v>
      </c>
      <c r="B6" s="8">
        <v>90750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91A0-A933-4404-91A8-49CC6EA368BA}">
  <dimension ref="A1:E50"/>
  <sheetViews>
    <sheetView workbookViewId="0">
      <selection activeCell="B1" sqref="B1"/>
    </sheetView>
  </sheetViews>
  <sheetFormatPr defaultRowHeight="14.4" x14ac:dyDescent="0.3"/>
  <cols>
    <col min="1" max="1" width="11.33203125" bestFit="1" customWidth="1"/>
    <col min="2" max="2" width="14.6640625" bestFit="1" customWidth="1"/>
    <col min="3" max="3" width="13.77734375" bestFit="1" customWidth="1"/>
    <col min="4" max="4" width="12" bestFit="1" customWidth="1"/>
    <col min="5" max="5" width="10.6640625" bestFit="1" customWidth="1"/>
  </cols>
  <sheetData>
    <row r="1" spans="1:5" x14ac:dyDescent="0.3">
      <c r="A1" s="4" t="s">
        <v>52</v>
      </c>
      <c r="B1" s="4" t="s">
        <v>249</v>
      </c>
      <c r="C1" s="4" t="s">
        <v>250</v>
      </c>
      <c r="D1" s="4" t="s">
        <v>251</v>
      </c>
      <c r="E1" s="4" t="s">
        <v>252</v>
      </c>
    </row>
    <row r="2" spans="1:5" x14ac:dyDescent="0.3">
      <c r="A2" s="6" t="s">
        <v>122</v>
      </c>
      <c r="B2" s="6" t="s">
        <v>253</v>
      </c>
      <c r="C2" s="6" t="s">
        <v>254</v>
      </c>
      <c r="D2" s="6" t="s">
        <v>255</v>
      </c>
      <c r="E2" s="6" t="s">
        <v>255</v>
      </c>
    </row>
    <row r="3" spans="1:5" x14ac:dyDescent="0.3">
      <c r="A3" s="6" t="s">
        <v>256</v>
      </c>
      <c r="B3" s="6" t="s">
        <v>257</v>
      </c>
      <c r="C3" s="6" t="s">
        <v>258</v>
      </c>
      <c r="D3" s="6" t="s">
        <v>259</v>
      </c>
      <c r="E3" s="6" t="s">
        <v>260</v>
      </c>
    </row>
    <row r="4" spans="1:5" x14ac:dyDescent="0.3">
      <c r="A4" s="6" t="s">
        <v>144</v>
      </c>
      <c r="B4" s="6" t="s">
        <v>261</v>
      </c>
      <c r="C4" s="6" t="s">
        <v>258</v>
      </c>
      <c r="D4" s="6" t="s">
        <v>262</v>
      </c>
      <c r="E4" s="6" t="s">
        <v>263</v>
      </c>
    </row>
    <row r="5" spans="1:5" x14ac:dyDescent="0.3">
      <c r="A5" s="6" t="s">
        <v>151</v>
      </c>
      <c r="B5" s="6" t="s">
        <v>264</v>
      </c>
      <c r="C5" s="6" t="s">
        <v>258</v>
      </c>
      <c r="D5" s="6" t="s">
        <v>265</v>
      </c>
      <c r="E5" s="6" t="s">
        <v>266</v>
      </c>
    </row>
    <row r="6" spans="1:5" x14ac:dyDescent="0.3">
      <c r="A6" s="6" t="s">
        <v>267</v>
      </c>
      <c r="B6" s="6" t="s">
        <v>268</v>
      </c>
      <c r="C6" s="6" t="s">
        <v>258</v>
      </c>
      <c r="D6" s="6" t="s">
        <v>259</v>
      </c>
      <c r="E6" s="6" t="s">
        <v>260</v>
      </c>
    </row>
    <row r="7" spans="1:5" x14ac:dyDescent="0.3">
      <c r="A7" s="6" t="s">
        <v>120</v>
      </c>
      <c r="B7" s="6" t="s">
        <v>269</v>
      </c>
      <c r="C7" s="6" t="s">
        <v>258</v>
      </c>
      <c r="D7" s="6" t="s">
        <v>270</v>
      </c>
      <c r="E7" s="6" t="s">
        <v>271</v>
      </c>
    </row>
    <row r="8" spans="1:5" x14ac:dyDescent="0.3">
      <c r="A8" s="6" t="s">
        <v>103</v>
      </c>
      <c r="B8" s="6" t="s">
        <v>272</v>
      </c>
      <c r="C8" s="6" t="s">
        <v>258</v>
      </c>
      <c r="D8" s="6" t="s">
        <v>265</v>
      </c>
      <c r="E8" s="6" t="s">
        <v>266</v>
      </c>
    </row>
    <row r="9" spans="1:5" x14ac:dyDescent="0.3">
      <c r="A9" s="6" t="s">
        <v>105</v>
      </c>
      <c r="B9" s="6" t="s">
        <v>273</v>
      </c>
      <c r="C9" s="6" t="s">
        <v>254</v>
      </c>
      <c r="D9" s="6" t="s">
        <v>274</v>
      </c>
      <c r="E9" s="6" t="s">
        <v>263</v>
      </c>
    </row>
    <row r="10" spans="1:5" x14ac:dyDescent="0.3">
      <c r="A10" s="6" t="s">
        <v>64</v>
      </c>
      <c r="B10" s="6" t="s">
        <v>275</v>
      </c>
      <c r="C10" s="6" t="s">
        <v>254</v>
      </c>
      <c r="D10" s="6" t="s">
        <v>259</v>
      </c>
      <c r="E10" s="6" t="s">
        <v>260</v>
      </c>
    </row>
    <row r="11" spans="1:5" x14ac:dyDescent="0.3">
      <c r="A11" s="6" t="s">
        <v>276</v>
      </c>
      <c r="B11" s="6" t="s">
        <v>277</v>
      </c>
      <c r="C11" s="6" t="s">
        <v>258</v>
      </c>
      <c r="D11" s="6" t="s">
        <v>270</v>
      </c>
      <c r="E11" s="6" t="s">
        <v>271</v>
      </c>
    </row>
    <row r="12" spans="1:5" x14ac:dyDescent="0.3">
      <c r="A12" s="6" t="s">
        <v>85</v>
      </c>
      <c r="B12" s="6" t="s">
        <v>278</v>
      </c>
      <c r="C12" s="6" t="s">
        <v>254</v>
      </c>
      <c r="D12" s="6" t="s">
        <v>279</v>
      </c>
      <c r="E12" s="6" t="s">
        <v>280</v>
      </c>
    </row>
    <row r="13" spans="1:5" x14ac:dyDescent="0.3">
      <c r="A13" s="6" t="s">
        <v>281</v>
      </c>
      <c r="B13" s="6" t="s">
        <v>253</v>
      </c>
      <c r="C13" s="6" t="s">
        <v>282</v>
      </c>
      <c r="D13" s="6" t="s">
        <v>283</v>
      </c>
      <c r="E13" s="6" t="s">
        <v>284</v>
      </c>
    </row>
    <row r="14" spans="1:5" x14ac:dyDescent="0.3">
      <c r="A14" s="6" t="s">
        <v>70</v>
      </c>
      <c r="B14" s="6" t="s">
        <v>268</v>
      </c>
      <c r="C14" s="6" t="s">
        <v>258</v>
      </c>
      <c r="D14" s="6" t="s">
        <v>259</v>
      </c>
      <c r="E14" s="6" t="s">
        <v>260</v>
      </c>
    </row>
    <row r="15" spans="1:5" x14ac:dyDescent="0.3">
      <c r="A15" s="6" t="s">
        <v>107</v>
      </c>
      <c r="B15" s="6" t="s">
        <v>273</v>
      </c>
      <c r="C15" s="6" t="s">
        <v>282</v>
      </c>
      <c r="D15" s="6" t="s">
        <v>270</v>
      </c>
      <c r="E15" s="6" t="s">
        <v>271</v>
      </c>
    </row>
    <row r="16" spans="1:5" x14ac:dyDescent="0.3">
      <c r="A16" s="6" t="s">
        <v>175</v>
      </c>
      <c r="B16" s="6" t="s">
        <v>285</v>
      </c>
      <c r="C16" s="6" t="s">
        <v>282</v>
      </c>
      <c r="D16" s="6" t="s">
        <v>283</v>
      </c>
      <c r="E16" s="6" t="s">
        <v>284</v>
      </c>
    </row>
    <row r="17" spans="1:5" x14ac:dyDescent="0.3">
      <c r="A17" s="6" t="s">
        <v>93</v>
      </c>
      <c r="B17" s="6" t="s">
        <v>286</v>
      </c>
      <c r="C17" s="6" t="s">
        <v>258</v>
      </c>
      <c r="D17" s="6" t="s">
        <v>283</v>
      </c>
      <c r="E17" s="6" t="s">
        <v>284</v>
      </c>
    </row>
    <row r="18" spans="1:5" x14ac:dyDescent="0.3">
      <c r="A18" s="6" t="s">
        <v>140</v>
      </c>
      <c r="B18" s="6" t="s">
        <v>287</v>
      </c>
      <c r="C18" s="6" t="s">
        <v>254</v>
      </c>
      <c r="D18" s="6" t="s">
        <v>262</v>
      </c>
      <c r="E18" s="6" t="s">
        <v>263</v>
      </c>
    </row>
    <row r="19" spans="1:5" x14ac:dyDescent="0.3">
      <c r="A19" s="6" t="s">
        <v>100</v>
      </c>
      <c r="B19" s="6" t="s">
        <v>288</v>
      </c>
      <c r="C19" s="6" t="s">
        <v>282</v>
      </c>
      <c r="D19" s="6" t="s">
        <v>279</v>
      </c>
      <c r="E19" s="6" t="s">
        <v>280</v>
      </c>
    </row>
    <row r="20" spans="1:5" x14ac:dyDescent="0.3">
      <c r="A20" s="6" t="s">
        <v>68</v>
      </c>
      <c r="B20" s="6" t="s">
        <v>269</v>
      </c>
      <c r="C20" s="6" t="s">
        <v>258</v>
      </c>
      <c r="D20" s="6" t="s">
        <v>259</v>
      </c>
      <c r="E20" s="6" t="s">
        <v>260</v>
      </c>
    </row>
    <row r="21" spans="1:5" x14ac:dyDescent="0.3">
      <c r="A21" s="6" t="s">
        <v>289</v>
      </c>
      <c r="B21" s="6" t="s">
        <v>290</v>
      </c>
      <c r="C21" s="6" t="s">
        <v>282</v>
      </c>
      <c r="D21" s="6" t="s">
        <v>270</v>
      </c>
      <c r="E21" s="6" t="s">
        <v>271</v>
      </c>
    </row>
    <row r="22" spans="1:5" x14ac:dyDescent="0.3">
      <c r="A22" s="6" t="s">
        <v>55</v>
      </c>
      <c r="B22" s="6" t="s">
        <v>291</v>
      </c>
      <c r="C22" s="6" t="s">
        <v>282</v>
      </c>
      <c r="D22" s="6" t="s">
        <v>262</v>
      </c>
      <c r="E22" s="6" t="s">
        <v>263</v>
      </c>
    </row>
    <row r="23" spans="1:5" x14ac:dyDescent="0.3">
      <c r="A23" s="6" t="s">
        <v>149</v>
      </c>
      <c r="B23" s="6" t="s">
        <v>286</v>
      </c>
      <c r="C23" s="6" t="s">
        <v>282</v>
      </c>
      <c r="D23" s="6" t="s">
        <v>279</v>
      </c>
      <c r="E23" s="6" t="s">
        <v>280</v>
      </c>
    </row>
    <row r="24" spans="1:5" x14ac:dyDescent="0.3">
      <c r="A24" s="6" t="s">
        <v>77</v>
      </c>
      <c r="B24" s="6" t="s">
        <v>292</v>
      </c>
      <c r="C24" s="6" t="s">
        <v>282</v>
      </c>
      <c r="D24" s="6" t="s">
        <v>262</v>
      </c>
      <c r="E24" s="6" t="s">
        <v>263</v>
      </c>
    </row>
    <row r="25" spans="1:5" x14ac:dyDescent="0.3">
      <c r="A25" s="6" t="s">
        <v>118</v>
      </c>
      <c r="B25" s="6" t="s">
        <v>293</v>
      </c>
      <c r="C25" s="6" t="s">
        <v>254</v>
      </c>
      <c r="D25" s="6" t="s">
        <v>279</v>
      </c>
      <c r="E25" s="6" t="s">
        <v>280</v>
      </c>
    </row>
    <row r="26" spans="1:5" x14ac:dyDescent="0.3">
      <c r="A26" s="6" t="s">
        <v>89</v>
      </c>
      <c r="B26" s="6" t="s">
        <v>287</v>
      </c>
      <c r="C26" s="6" t="s">
        <v>282</v>
      </c>
      <c r="D26" s="6" t="s">
        <v>279</v>
      </c>
      <c r="E26" s="6" t="s">
        <v>280</v>
      </c>
    </row>
    <row r="27" spans="1:5" x14ac:dyDescent="0.3">
      <c r="A27" s="6" t="s">
        <v>132</v>
      </c>
      <c r="B27" s="6" t="s">
        <v>291</v>
      </c>
      <c r="C27" s="6" t="s">
        <v>282</v>
      </c>
      <c r="D27" s="6" t="s">
        <v>259</v>
      </c>
      <c r="E27" s="6" t="s">
        <v>260</v>
      </c>
    </row>
    <row r="28" spans="1:5" x14ac:dyDescent="0.3">
      <c r="A28" s="6" t="s">
        <v>62</v>
      </c>
      <c r="B28" s="6" t="s">
        <v>294</v>
      </c>
      <c r="C28" s="6" t="s">
        <v>282</v>
      </c>
      <c r="D28" s="6" t="s">
        <v>259</v>
      </c>
      <c r="E28" s="6" t="s">
        <v>260</v>
      </c>
    </row>
    <row r="29" spans="1:5" x14ac:dyDescent="0.3">
      <c r="A29" s="6" t="s">
        <v>95</v>
      </c>
      <c r="B29" s="6" t="s">
        <v>295</v>
      </c>
      <c r="C29" s="6" t="s">
        <v>254</v>
      </c>
      <c r="D29" s="6" t="s">
        <v>262</v>
      </c>
      <c r="E29" s="6" t="s">
        <v>263</v>
      </c>
    </row>
    <row r="30" spans="1:5" x14ac:dyDescent="0.3">
      <c r="A30" s="6" t="s">
        <v>57</v>
      </c>
      <c r="B30" s="6" t="s">
        <v>285</v>
      </c>
      <c r="C30" s="6" t="s">
        <v>282</v>
      </c>
      <c r="D30" s="6" t="s">
        <v>279</v>
      </c>
      <c r="E30" s="6" t="s">
        <v>280</v>
      </c>
    </row>
    <row r="31" spans="1:5" x14ac:dyDescent="0.3">
      <c r="A31" s="6" t="s">
        <v>296</v>
      </c>
      <c r="B31" s="6" t="s">
        <v>287</v>
      </c>
      <c r="C31" s="6" t="s">
        <v>282</v>
      </c>
      <c r="D31" s="6" t="s">
        <v>259</v>
      </c>
      <c r="E31" s="6" t="s">
        <v>260</v>
      </c>
    </row>
    <row r="32" spans="1:5" x14ac:dyDescent="0.3">
      <c r="A32" s="6" t="s">
        <v>184</v>
      </c>
      <c r="B32" s="6" t="s">
        <v>297</v>
      </c>
      <c r="C32" s="6" t="s">
        <v>254</v>
      </c>
      <c r="D32" s="6" t="s">
        <v>259</v>
      </c>
      <c r="E32" s="6" t="s">
        <v>260</v>
      </c>
    </row>
    <row r="33" spans="1:5" x14ac:dyDescent="0.3">
      <c r="A33" s="6" t="s">
        <v>113</v>
      </c>
      <c r="B33" s="6" t="s">
        <v>298</v>
      </c>
      <c r="C33" s="6" t="s">
        <v>254</v>
      </c>
      <c r="D33" s="6" t="s">
        <v>262</v>
      </c>
      <c r="E33" s="6" t="s">
        <v>263</v>
      </c>
    </row>
    <row r="34" spans="1:5" x14ac:dyDescent="0.3">
      <c r="A34" s="6" t="s">
        <v>79</v>
      </c>
      <c r="B34" s="6" t="s">
        <v>299</v>
      </c>
      <c r="C34" s="6" t="s">
        <v>254</v>
      </c>
      <c r="D34" s="6" t="s">
        <v>283</v>
      </c>
      <c r="E34" s="6" t="s">
        <v>284</v>
      </c>
    </row>
    <row r="35" spans="1:5" x14ac:dyDescent="0.3">
      <c r="A35" s="6" t="s">
        <v>194</v>
      </c>
      <c r="B35" s="6" t="s">
        <v>300</v>
      </c>
      <c r="C35" s="6" t="s">
        <v>282</v>
      </c>
      <c r="D35" s="6" t="s">
        <v>283</v>
      </c>
      <c r="E35" s="6" t="s">
        <v>284</v>
      </c>
    </row>
    <row r="36" spans="1:5" x14ac:dyDescent="0.3">
      <c r="A36" s="6" t="s">
        <v>147</v>
      </c>
      <c r="B36" s="6" t="s">
        <v>301</v>
      </c>
      <c r="C36" s="6" t="s">
        <v>254</v>
      </c>
      <c r="D36" s="6" t="s">
        <v>279</v>
      </c>
      <c r="E36" s="6" t="s">
        <v>280</v>
      </c>
    </row>
    <row r="37" spans="1:5" x14ac:dyDescent="0.3">
      <c r="A37" s="6" t="s">
        <v>187</v>
      </c>
      <c r="B37" s="6" t="s">
        <v>261</v>
      </c>
      <c r="C37" s="6" t="s">
        <v>254</v>
      </c>
      <c r="D37" s="6" t="s">
        <v>270</v>
      </c>
      <c r="E37" s="6" t="s">
        <v>271</v>
      </c>
    </row>
    <row r="38" spans="1:5" x14ac:dyDescent="0.3">
      <c r="A38" s="6" t="s">
        <v>109</v>
      </c>
      <c r="B38" s="6" t="s">
        <v>257</v>
      </c>
      <c r="C38" s="6" t="s">
        <v>282</v>
      </c>
      <c r="D38" s="6" t="s">
        <v>279</v>
      </c>
      <c r="E38" s="6" t="s">
        <v>280</v>
      </c>
    </row>
    <row r="39" spans="1:5" x14ac:dyDescent="0.3">
      <c r="A39" s="6" t="s">
        <v>302</v>
      </c>
      <c r="B39" s="6" t="s">
        <v>303</v>
      </c>
      <c r="C39" s="6" t="s">
        <v>254</v>
      </c>
      <c r="D39" s="6" t="s">
        <v>262</v>
      </c>
      <c r="E39" s="6" t="s">
        <v>263</v>
      </c>
    </row>
    <row r="40" spans="1:5" x14ac:dyDescent="0.3">
      <c r="A40" s="6" t="s">
        <v>128</v>
      </c>
      <c r="B40" s="6" t="s">
        <v>304</v>
      </c>
      <c r="C40" s="6" t="s">
        <v>282</v>
      </c>
      <c r="D40" s="6" t="s">
        <v>262</v>
      </c>
      <c r="E40" s="6" t="s">
        <v>263</v>
      </c>
    </row>
    <row r="41" spans="1:5" x14ac:dyDescent="0.3">
      <c r="A41" s="6" t="s">
        <v>97</v>
      </c>
      <c r="B41" s="6" t="s">
        <v>305</v>
      </c>
      <c r="C41" s="6" t="s">
        <v>258</v>
      </c>
      <c r="D41" s="6" t="s">
        <v>262</v>
      </c>
      <c r="E41" s="6" t="s">
        <v>263</v>
      </c>
    </row>
    <row r="42" spans="1:5" x14ac:dyDescent="0.3">
      <c r="A42" s="6" t="s">
        <v>87</v>
      </c>
      <c r="B42" s="6" t="s">
        <v>306</v>
      </c>
      <c r="C42" s="6" t="s">
        <v>254</v>
      </c>
      <c r="D42" s="6" t="s">
        <v>262</v>
      </c>
      <c r="E42" s="6" t="s">
        <v>263</v>
      </c>
    </row>
    <row r="43" spans="1:5" x14ac:dyDescent="0.3">
      <c r="A43" s="6" t="s">
        <v>66</v>
      </c>
      <c r="B43" s="6" t="s">
        <v>264</v>
      </c>
      <c r="C43" s="6" t="s">
        <v>258</v>
      </c>
      <c r="D43" s="6" t="s">
        <v>262</v>
      </c>
      <c r="E43" s="6" t="s">
        <v>263</v>
      </c>
    </row>
    <row r="44" spans="1:5" x14ac:dyDescent="0.3">
      <c r="A44" s="6" t="s">
        <v>179</v>
      </c>
      <c r="B44" s="6" t="s">
        <v>307</v>
      </c>
      <c r="C44" s="6" t="s">
        <v>282</v>
      </c>
      <c r="D44" s="6" t="s">
        <v>259</v>
      </c>
      <c r="E44" s="6" t="s">
        <v>260</v>
      </c>
    </row>
    <row r="45" spans="1:5" x14ac:dyDescent="0.3">
      <c r="A45" s="6" t="s">
        <v>60</v>
      </c>
      <c r="B45" s="6" t="s">
        <v>308</v>
      </c>
      <c r="C45" s="6" t="s">
        <v>254</v>
      </c>
      <c r="D45" s="6" t="s">
        <v>283</v>
      </c>
      <c r="E45" s="6" t="s">
        <v>284</v>
      </c>
    </row>
    <row r="46" spans="1:5" x14ac:dyDescent="0.3">
      <c r="A46" s="6" t="s">
        <v>75</v>
      </c>
      <c r="B46" s="6" t="s">
        <v>257</v>
      </c>
      <c r="C46" s="6" t="s">
        <v>282</v>
      </c>
      <c r="D46" s="6" t="s">
        <v>262</v>
      </c>
      <c r="E46" s="6" t="s">
        <v>263</v>
      </c>
    </row>
    <row r="47" spans="1:5" x14ac:dyDescent="0.3">
      <c r="A47" s="6" t="s">
        <v>73</v>
      </c>
      <c r="B47" s="6" t="s">
        <v>257</v>
      </c>
      <c r="C47" s="6" t="s">
        <v>258</v>
      </c>
      <c r="D47" s="6" t="s">
        <v>270</v>
      </c>
      <c r="E47" s="6" t="s">
        <v>271</v>
      </c>
    </row>
    <row r="48" spans="1:5" x14ac:dyDescent="0.3">
      <c r="A48" s="6" t="s">
        <v>82</v>
      </c>
      <c r="B48" s="6" t="s">
        <v>293</v>
      </c>
      <c r="C48" s="6" t="s">
        <v>282</v>
      </c>
      <c r="D48" s="6" t="s">
        <v>270</v>
      </c>
      <c r="E48" s="6" t="s">
        <v>271</v>
      </c>
    </row>
    <row r="49" spans="1:5" x14ac:dyDescent="0.3">
      <c r="A49" s="6" t="s">
        <v>153</v>
      </c>
      <c r="B49" s="6" t="s">
        <v>264</v>
      </c>
      <c r="C49" s="6" t="s">
        <v>254</v>
      </c>
      <c r="D49" s="6" t="s">
        <v>270</v>
      </c>
      <c r="E49" s="6" t="s">
        <v>271</v>
      </c>
    </row>
    <row r="50" spans="1:5" x14ac:dyDescent="0.3">
      <c r="A50" s="6" t="s">
        <v>309</v>
      </c>
      <c r="B50" s="6" t="s">
        <v>310</v>
      </c>
      <c r="C50" s="6" t="s">
        <v>254</v>
      </c>
      <c r="D50" s="6" t="s">
        <v>270</v>
      </c>
      <c r="E50" s="6" t="s">
        <v>271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CB93-02A8-46CB-B976-EC1F28F4E0E1}">
  <dimension ref="A1:CQ143"/>
  <sheetViews>
    <sheetView showGridLines="0" tabSelected="1" topLeftCell="A7" zoomScale="62" zoomScaleNormal="62" workbookViewId="0">
      <selection activeCell="AB51" sqref="AB51"/>
    </sheetView>
  </sheetViews>
  <sheetFormatPr defaultRowHeight="14.4" x14ac:dyDescent="0.3"/>
  <cols>
    <col min="24" max="24" width="15.88671875" bestFit="1" customWidth="1"/>
    <col min="25" max="25" width="15.5546875" bestFit="1" customWidth="1"/>
    <col min="26" max="26" width="3.5546875" bestFit="1" customWidth="1"/>
    <col min="27" max="27" width="5" bestFit="1" customWidth="1"/>
    <col min="28" max="28" width="10.77734375" bestFit="1" customWidth="1"/>
    <col min="31" max="31" width="19.21875" bestFit="1" customWidth="1"/>
    <col min="53" max="53" width="19.21875" bestFit="1" customWidth="1"/>
    <col min="56" max="56" width="12.5546875" bestFit="1" customWidth="1"/>
    <col min="57" max="57" width="19.21875" bestFit="1" customWidth="1"/>
    <col min="59" max="59" width="12.5546875" bestFit="1" customWidth="1"/>
    <col min="60" max="60" width="20.5546875" bestFit="1" customWidth="1"/>
    <col min="64" max="64" width="10.5546875" bestFit="1" customWidth="1"/>
    <col min="65" max="65" width="26.21875" bestFit="1" customWidth="1"/>
    <col min="68" max="68" width="15.88671875" bestFit="1" customWidth="1"/>
    <col min="69" max="69" width="15.5546875" bestFit="1" customWidth="1"/>
    <col min="70" max="70" width="4" bestFit="1" customWidth="1"/>
    <col min="71" max="72" width="10.77734375" bestFit="1" customWidth="1"/>
    <col min="78" max="78" width="12.5546875" bestFit="1" customWidth="1"/>
    <col min="79" max="79" width="19.21875" bestFit="1" customWidth="1"/>
    <col min="84" max="84" width="10.77734375" bestFit="1" customWidth="1"/>
    <col min="85" max="85" width="19.21875" bestFit="1" customWidth="1"/>
    <col min="88" max="88" width="12.5546875" bestFit="1" customWidth="1"/>
    <col min="89" max="89" width="19.21875" bestFit="1" customWidth="1"/>
    <col min="91" max="91" width="12.5546875" bestFit="1" customWidth="1"/>
    <col min="92" max="92" width="20.5546875" bestFit="1" customWidth="1"/>
  </cols>
  <sheetData>
    <row r="1" spans="1:25" ht="14.4" customHeight="1" x14ac:dyDescent="0.3">
      <c r="A1" s="30" t="s">
        <v>360</v>
      </c>
      <c r="B1" s="31"/>
      <c r="C1" s="31"/>
      <c r="D1" s="31"/>
      <c r="E1" s="31"/>
      <c r="F1" s="31"/>
      <c r="G1" s="31"/>
      <c r="H1" s="31"/>
      <c r="I1" s="31"/>
      <c r="J1" s="31"/>
      <c r="K1" s="31"/>
      <c r="L1" s="31"/>
      <c r="M1" s="31"/>
      <c r="N1" s="31"/>
      <c r="O1" s="31"/>
      <c r="P1" s="31"/>
      <c r="Q1" s="31"/>
      <c r="R1" s="31"/>
      <c r="S1" s="31"/>
      <c r="T1" s="31"/>
      <c r="U1" s="31"/>
      <c r="V1" s="31"/>
      <c r="W1" s="31"/>
      <c r="X1" s="20"/>
      <c r="Y1" s="20"/>
    </row>
    <row r="2" spans="1:25" x14ac:dyDescent="0.3">
      <c r="A2" s="31"/>
      <c r="B2" s="31"/>
      <c r="C2" s="31"/>
      <c r="D2" s="31"/>
      <c r="E2" s="31"/>
      <c r="F2" s="31"/>
      <c r="G2" s="31"/>
      <c r="H2" s="31"/>
      <c r="I2" s="31"/>
      <c r="J2" s="31"/>
      <c r="K2" s="31"/>
      <c r="L2" s="31"/>
      <c r="M2" s="31"/>
      <c r="N2" s="31"/>
      <c r="O2" s="31"/>
      <c r="P2" s="31"/>
      <c r="Q2" s="31"/>
      <c r="R2" s="31"/>
      <c r="S2" s="31"/>
      <c r="T2" s="31"/>
      <c r="U2" s="31"/>
      <c r="V2" s="31"/>
      <c r="W2" s="31"/>
      <c r="X2" s="20"/>
      <c r="Y2" s="20"/>
    </row>
    <row r="3" spans="1:25" x14ac:dyDescent="0.3">
      <c r="A3" s="31"/>
      <c r="B3" s="31"/>
      <c r="C3" s="31"/>
      <c r="D3" s="31"/>
      <c r="E3" s="31"/>
      <c r="F3" s="31"/>
      <c r="G3" s="31"/>
      <c r="H3" s="31"/>
      <c r="I3" s="31"/>
      <c r="J3" s="31"/>
      <c r="K3" s="31"/>
      <c r="L3" s="31"/>
      <c r="M3" s="31"/>
      <c r="N3" s="31"/>
      <c r="O3" s="31"/>
      <c r="P3" s="31"/>
      <c r="Q3" s="31"/>
      <c r="R3" s="31"/>
      <c r="S3" s="31"/>
      <c r="T3" s="31"/>
      <c r="U3" s="31"/>
      <c r="V3" s="31"/>
      <c r="W3" s="31"/>
      <c r="X3" s="20"/>
      <c r="Y3" s="20"/>
    </row>
    <row r="4" spans="1:25" x14ac:dyDescent="0.3">
      <c r="A4" s="31"/>
      <c r="B4" s="31"/>
      <c r="C4" s="31"/>
      <c r="D4" s="31"/>
      <c r="E4" s="31"/>
      <c r="F4" s="31"/>
      <c r="G4" s="31"/>
      <c r="H4" s="31"/>
      <c r="I4" s="31"/>
      <c r="J4" s="31"/>
      <c r="K4" s="31"/>
      <c r="L4" s="31"/>
      <c r="M4" s="31"/>
      <c r="N4" s="31"/>
      <c r="O4" s="31"/>
      <c r="P4" s="31"/>
      <c r="Q4" s="31"/>
      <c r="R4" s="31"/>
      <c r="S4" s="31"/>
      <c r="T4" s="31"/>
      <c r="U4" s="31"/>
      <c r="V4" s="31"/>
      <c r="W4" s="31"/>
      <c r="X4" s="20"/>
      <c r="Y4" s="20"/>
    </row>
    <row r="5" spans="1:25" x14ac:dyDescent="0.3">
      <c r="A5" s="31"/>
      <c r="B5" s="31"/>
      <c r="C5" s="31"/>
      <c r="D5" s="31"/>
      <c r="E5" s="31"/>
      <c r="F5" s="31"/>
      <c r="G5" s="31"/>
      <c r="H5" s="31"/>
      <c r="I5" s="31"/>
      <c r="J5" s="31"/>
      <c r="K5" s="31"/>
      <c r="L5" s="31"/>
      <c r="M5" s="31"/>
      <c r="N5" s="31"/>
      <c r="O5" s="31"/>
      <c r="P5" s="31"/>
      <c r="Q5" s="31"/>
      <c r="R5" s="31"/>
      <c r="S5" s="31"/>
      <c r="T5" s="31"/>
      <c r="U5" s="31"/>
      <c r="V5" s="31"/>
      <c r="W5" s="31"/>
      <c r="X5" s="20"/>
      <c r="Y5" s="20"/>
    </row>
    <row r="6" spans="1:25" x14ac:dyDescent="0.3">
      <c r="A6" s="31"/>
      <c r="B6" s="31"/>
      <c r="C6" s="31"/>
      <c r="D6" s="31"/>
      <c r="E6" s="31"/>
      <c r="F6" s="31"/>
      <c r="G6" s="31"/>
      <c r="H6" s="31"/>
      <c r="I6" s="31"/>
      <c r="J6" s="31"/>
      <c r="K6" s="31"/>
      <c r="L6" s="31"/>
      <c r="M6" s="31"/>
      <c r="N6" s="31"/>
      <c r="O6" s="31"/>
      <c r="P6" s="31"/>
      <c r="Q6" s="31"/>
      <c r="R6" s="31"/>
      <c r="S6" s="31"/>
      <c r="T6" s="31"/>
      <c r="U6" s="31"/>
      <c r="V6" s="31"/>
      <c r="W6" s="31"/>
      <c r="X6" s="20"/>
      <c r="Y6" s="20"/>
    </row>
    <row r="7" spans="1:25" x14ac:dyDescent="0.3">
      <c r="A7" s="31"/>
      <c r="B7" s="31"/>
      <c r="C7" s="31"/>
      <c r="D7" s="31"/>
      <c r="E7" s="31"/>
      <c r="F7" s="31"/>
      <c r="G7" s="31"/>
      <c r="H7" s="31"/>
      <c r="I7" s="31"/>
      <c r="J7" s="31"/>
      <c r="K7" s="31"/>
      <c r="L7" s="31"/>
      <c r="M7" s="31"/>
      <c r="N7" s="31"/>
      <c r="O7" s="31"/>
      <c r="P7" s="31"/>
      <c r="Q7" s="31"/>
      <c r="R7" s="31"/>
      <c r="S7" s="31"/>
      <c r="T7" s="31"/>
      <c r="U7" s="31"/>
      <c r="V7" s="31"/>
      <c r="W7" s="31"/>
      <c r="X7" s="20"/>
      <c r="Y7" s="20"/>
    </row>
    <row r="8" spans="1:25" x14ac:dyDescent="0.3">
      <c r="A8" s="31"/>
      <c r="B8" s="31"/>
      <c r="C8" s="31"/>
      <c r="D8" s="31"/>
      <c r="E8" s="31"/>
      <c r="F8" s="31"/>
      <c r="G8" s="31"/>
      <c r="H8" s="31"/>
      <c r="I8" s="31"/>
      <c r="J8" s="31"/>
      <c r="K8" s="31"/>
      <c r="L8" s="31"/>
      <c r="M8" s="31"/>
      <c r="N8" s="31"/>
      <c r="O8" s="31"/>
      <c r="P8" s="31"/>
      <c r="Q8" s="31"/>
      <c r="R8" s="31"/>
      <c r="S8" s="31"/>
      <c r="T8" s="31"/>
      <c r="U8" s="31"/>
      <c r="V8" s="31"/>
      <c r="W8" s="31"/>
      <c r="X8" s="20"/>
      <c r="Y8" s="20"/>
    </row>
    <row r="9" spans="1:25" x14ac:dyDescent="0.3">
      <c r="A9" s="31"/>
      <c r="B9" s="31"/>
      <c r="C9" s="31"/>
      <c r="D9" s="31"/>
      <c r="E9" s="31"/>
      <c r="F9" s="31"/>
      <c r="G9" s="31"/>
      <c r="H9" s="31"/>
      <c r="I9" s="31"/>
      <c r="J9" s="31"/>
      <c r="K9" s="31"/>
      <c r="L9" s="31"/>
      <c r="M9" s="31"/>
      <c r="N9" s="31"/>
      <c r="O9" s="31"/>
      <c r="P9" s="31"/>
      <c r="Q9" s="31"/>
      <c r="R9" s="31"/>
      <c r="S9" s="31"/>
      <c r="T9" s="31"/>
      <c r="U9" s="31"/>
      <c r="V9" s="31"/>
      <c r="W9" s="31"/>
      <c r="X9" s="20"/>
      <c r="Y9" s="20"/>
    </row>
    <row r="10" spans="1:25" x14ac:dyDescent="0.3">
      <c r="A10" s="31"/>
      <c r="B10" s="31"/>
      <c r="C10" s="31"/>
      <c r="D10" s="31"/>
      <c r="E10" s="31"/>
      <c r="F10" s="31"/>
      <c r="G10" s="31"/>
      <c r="H10" s="31"/>
      <c r="I10" s="31"/>
      <c r="J10" s="31"/>
      <c r="K10" s="31"/>
      <c r="L10" s="31"/>
      <c r="M10" s="31"/>
      <c r="N10" s="31"/>
      <c r="O10" s="31"/>
      <c r="P10" s="31"/>
      <c r="Q10" s="31"/>
      <c r="R10" s="31"/>
      <c r="S10" s="31"/>
      <c r="T10" s="31"/>
      <c r="U10" s="31"/>
      <c r="V10" s="31"/>
      <c r="W10" s="31"/>
      <c r="X10" s="20"/>
      <c r="Y10" s="20"/>
    </row>
    <row r="24" spans="53:85" x14ac:dyDescent="0.3">
      <c r="BG24" s="9" t="s">
        <v>311</v>
      </c>
      <c r="BH24" t="s">
        <v>327</v>
      </c>
      <c r="CA24" s="19"/>
      <c r="CF24" s="9" t="s">
        <v>361</v>
      </c>
      <c r="CG24" t="s">
        <v>313</v>
      </c>
    </row>
    <row r="25" spans="53:85" x14ac:dyDescent="0.3">
      <c r="BA25" t="s">
        <v>313</v>
      </c>
      <c r="BD25" s="9" t="s">
        <v>311</v>
      </c>
      <c r="BE25" t="s">
        <v>313</v>
      </c>
      <c r="BG25" s="10" t="s">
        <v>208</v>
      </c>
      <c r="BH25">
        <v>8</v>
      </c>
      <c r="CF25" s="10" t="s">
        <v>30</v>
      </c>
      <c r="CG25">
        <v>5456</v>
      </c>
    </row>
    <row r="26" spans="53:85" x14ac:dyDescent="0.3">
      <c r="BA26">
        <v>35258</v>
      </c>
      <c r="BD26" s="10" t="s">
        <v>199</v>
      </c>
      <c r="BE26">
        <v>9644</v>
      </c>
      <c r="BG26" s="10" t="s">
        <v>210</v>
      </c>
      <c r="BH26">
        <v>8</v>
      </c>
      <c r="CF26" s="10" t="s">
        <v>17</v>
      </c>
      <c r="CG26">
        <v>3635</v>
      </c>
    </row>
    <row r="27" spans="53:85" x14ac:dyDescent="0.3">
      <c r="BD27" s="10" t="s">
        <v>312</v>
      </c>
      <c r="BE27">
        <v>9644</v>
      </c>
      <c r="BG27" s="10" t="s">
        <v>312</v>
      </c>
      <c r="BH27">
        <v>16</v>
      </c>
      <c r="CF27" s="10" t="s">
        <v>12</v>
      </c>
      <c r="CG27">
        <v>10491</v>
      </c>
    </row>
    <row r="28" spans="53:85" x14ac:dyDescent="0.3">
      <c r="CF28" s="10" t="s">
        <v>21</v>
      </c>
      <c r="CG28">
        <v>7317</v>
      </c>
    </row>
    <row r="29" spans="53:85" x14ac:dyDescent="0.3">
      <c r="CF29" s="10" t="s">
        <v>33</v>
      </c>
      <c r="CG29">
        <v>8359</v>
      </c>
    </row>
    <row r="30" spans="53:85" x14ac:dyDescent="0.3">
      <c r="CF30" s="10" t="s">
        <v>312</v>
      </c>
      <c r="CG30">
        <v>35258</v>
      </c>
    </row>
    <row r="34" spans="61:95" x14ac:dyDescent="0.3">
      <c r="BQ34" s="9" t="s">
        <v>321</v>
      </c>
      <c r="BU34" t="s">
        <v>337</v>
      </c>
    </row>
    <row r="35" spans="61:95" x14ac:dyDescent="0.3">
      <c r="BQ35" t="s">
        <v>323</v>
      </c>
      <c r="BR35" t="s">
        <v>324</v>
      </c>
      <c r="BS35" t="s">
        <v>325</v>
      </c>
      <c r="BT35" t="s">
        <v>312</v>
      </c>
      <c r="CQ35" s="19"/>
    </row>
    <row r="36" spans="61:95" x14ac:dyDescent="0.3">
      <c r="BP36" t="s">
        <v>319</v>
      </c>
      <c r="BQ36">
        <v>11</v>
      </c>
      <c r="BR36">
        <v>66</v>
      </c>
      <c r="BS36">
        <v>23</v>
      </c>
      <c r="BT36">
        <v>100</v>
      </c>
      <c r="BU36" s="15">
        <f>BQ36/(BQ36+BS36)</f>
        <v>0.3235294117647059</v>
      </c>
      <c r="CM36" s="9" t="s">
        <v>311</v>
      </c>
      <c r="CN36" t="s">
        <v>327</v>
      </c>
    </row>
    <row r="37" spans="61:95" x14ac:dyDescent="0.3">
      <c r="BI37" t="s">
        <v>311</v>
      </c>
      <c r="BJ37" t="s">
        <v>322</v>
      </c>
      <c r="BK37" t="s">
        <v>331</v>
      </c>
      <c r="BL37" t="s">
        <v>312</v>
      </c>
      <c r="BM37" t="s">
        <v>333</v>
      </c>
      <c r="BZ37" s="9" t="s">
        <v>311</v>
      </c>
      <c r="CA37" t="s">
        <v>313</v>
      </c>
      <c r="CJ37" s="9" t="s">
        <v>311</v>
      </c>
      <c r="CK37" t="s">
        <v>313</v>
      </c>
      <c r="CM37" s="10" t="s">
        <v>208</v>
      </c>
      <c r="CN37">
        <v>8</v>
      </c>
    </row>
    <row r="38" spans="61:95" x14ac:dyDescent="0.3">
      <c r="BI38" s="10" t="s">
        <v>30</v>
      </c>
      <c r="BJ38">
        <v>9</v>
      </c>
      <c r="BK38">
        <v>5</v>
      </c>
      <c r="BL38">
        <v>14</v>
      </c>
      <c r="BM38" s="15">
        <f>BK38/BL38</f>
        <v>0.35714285714285715</v>
      </c>
      <c r="BZ38" s="10" t="s">
        <v>12</v>
      </c>
      <c r="CA38">
        <v>10491</v>
      </c>
      <c r="CJ38" s="10" t="s">
        <v>199</v>
      </c>
      <c r="CK38">
        <v>9644</v>
      </c>
      <c r="CM38" s="10" t="s">
        <v>210</v>
      </c>
      <c r="CN38">
        <v>8</v>
      </c>
    </row>
    <row r="39" spans="61:95" x14ac:dyDescent="0.3">
      <c r="BI39" s="10" t="s">
        <v>17</v>
      </c>
      <c r="BJ39">
        <v>15</v>
      </c>
      <c r="BK39">
        <v>3</v>
      </c>
      <c r="BL39">
        <v>18</v>
      </c>
      <c r="BM39" s="15">
        <f t="shared" ref="BM39:BM42" si="0">BK39/BL39</f>
        <v>0.16666666666666666</v>
      </c>
      <c r="BZ39" s="10" t="s">
        <v>33</v>
      </c>
      <c r="CA39">
        <v>8359</v>
      </c>
      <c r="CJ39" s="10" t="s">
        <v>312</v>
      </c>
      <c r="CK39">
        <v>9644</v>
      </c>
      <c r="CM39" s="10" t="s">
        <v>312</v>
      </c>
      <c r="CN39">
        <v>16</v>
      </c>
    </row>
    <row r="40" spans="61:95" x14ac:dyDescent="0.3">
      <c r="BI40" s="10" t="s">
        <v>12</v>
      </c>
      <c r="BJ40">
        <v>15</v>
      </c>
      <c r="BK40">
        <v>10</v>
      </c>
      <c r="BL40">
        <v>25</v>
      </c>
      <c r="BM40" s="15">
        <f t="shared" si="0"/>
        <v>0.4</v>
      </c>
      <c r="BZ40" s="10" t="s">
        <v>21</v>
      </c>
      <c r="CA40">
        <v>7317</v>
      </c>
    </row>
    <row r="41" spans="61:95" x14ac:dyDescent="0.3">
      <c r="BI41" s="10" t="s">
        <v>21</v>
      </c>
      <c r="BJ41">
        <v>16</v>
      </c>
      <c r="BK41">
        <v>4</v>
      </c>
      <c r="BL41">
        <v>20</v>
      </c>
      <c r="BM41" s="15">
        <f t="shared" si="0"/>
        <v>0.2</v>
      </c>
      <c r="BP41" s="9" t="s">
        <v>319</v>
      </c>
      <c r="BQ41" s="9" t="s">
        <v>321</v>
      </c>
      <c r="BT41" s="12"/>
      <c r="BZ41" s="10" t="s">
        <v>30</v>
      </c>
      <c r="CA41">
        <v>5456</v>
      </c>
    </row>
    <row r="42" spans="61:95" x14ac:dyDescent="0.3">
      <c r="BI42" s="10" t="s">
        <v>33</v>
      </c>
      <c r="BJ42">
        <v>15</v>
      </c>
      <c r="BK42">
        <v>8</v>
      </c>
      <c r="BL42">
        <v>23</v>
      </c>
      <c r="BM42" s="15">
        <f t="shared" si="0"/>
        <v>0.34782608695652173</v>
      </c>
      <c r="BP42" s="9" t="s">
        <v>311</v>
      </c>
      <c r="BQ42" t="s">
        <v>322</v>
      </c>
      <c r="BR42" t="s">
        <v>331</v>
      </c>
      <c r="BS42" t="s">
        <v>312</v>
      </c>
      <c r="BT42" t="s">
        <v>333</v>
      </c>
      <c r="BZ42" s="10" t="s">
        <v>17</v>
      </c>
      <c r="CA42">
        <v>3635</v>
      </c>
    </row>
    <row r="43" spans="61:95" x14ac:dyDescent="0.3">
      <c r="BP43" s="10" t="s">
        <v>30</v>
      </c>
      <c r="BQ43">
        <v>9</v>
      </c>
      <c r="BR43">
        <v>5</v>
      </c>
      <c r="BS43">
        <v>14</v>
      </c>
      <c r="BT43" s="15">
        <f>BR43/BS43</f>
        <v>0.35714285714285715</v>
      </c>
      <c r="BZ43" s="10" t="s">
        <v>312</v>
      </c>
      <c r="CA43">
        <v>35258</v>
      </c>
    </row>
    <row r="44" spans="61:95" x14ac:dyDescent="0.3">
      <c r="BP44" s="10" t="s">
        <v>17</v>
      </c>
      <c r="BQ44">
        <v>15</v>
      </c>
      <c r="BR44">
        <v>3</v>
      </c>
      <c r="BS44">
        <v>18</v>
      </c>
      <c r="BT44" s="15">
        <f t="shared" ref="BT44:BT47" si="1">BR44/BS44</f>
        <v>0.16666666666666666</v>
      </c>
    </row>
    <row r="45" spans="61:95" x14ac:dyDescent="0.3">
      <c r="BP45" s="10" t="s">
        <v>12</v>
      </c>
      <c r="BQ45">
        <v>15</v>
      </c>
      <c r="BR45">
        <v>10</v>
      </c>
      <c r="BS45">
        <v>25</v>
      </c>
      <c r="BT45" s="15">
        <f t="shared" si="1"/>
        <v>0.4</v>
      </c>
    </row>
    <row r="46" spans="61:95" x14ac:dyDescent="0.3">
      <c r="BP46" s="10" t="s">
        <v>21</v>
      </c>
      <c r="BQ46">
        <v>16</v>
      </c>
      <c r="BR46">
        <v>4</v>
      </c>
      <c r="BS46">
        <v>20</v>
      </c>
      <c r="BT46" s="15">
        <f t="shared" si="1"/>
        <v>0.2</v>
      </c>
    </row>
    <row r="47" spans="61:95" x14ac:dyDescent="0.3">
      <c r="BP47" s="10" t="s">
        <v>33</v>
      </c>
      <c r="BQ47">
        <v>15</v>
      </c>
      <c r="BR47">
        <v>8</v>
      </c>
      <c r="BS47">
        <v>23</v>
      </c>
      <c r="BT47" s="15">
        <f t="shared" si="1"/>
        <v>0.34782608695652173</v>
      </c>
    </row>
    <row r="48" spans="61:95" x14ac:dyDescent="0.3">
      <c r="BP48" s="10" t="s">
        <v>312</v>
      </c>
      <c r="BQ48">
        <v>70</v>
      </c>
      <c r="BR48">
        <v>30</v>
      </c>
      <c r="BS48">
        <v>100</v>
      </c>
    </row>
    <row r="97" spans="11:31" ht="72" x14ac:dyDescent="0.3">
      <c r="K97" s="19" t="str">
        <f>AV115&amp;CHAR(10)&amp;CM37&amp;"-"&amp;CN37</f>
        <v>Highest Selling Produsts by Units
Leg Set-8</v>
      </c>
      <c r="L97" s="19" t="s">
        <v>365</v>
      </c>
    </row>
    <row r="109" spans="11:31" x14ac:dyDescent="0.3">
      <c r="Y109" s="9" t="s">
        <v>321</v>
      </c>
      <c r="AC109" t="s">
        <v>337</v>
      </c>
    </row>
    <row r="110" spans="11:31" x14ac:dyDescent="0.3">
      <c r="Y110" t="s">
        <v>323</v>
      </c>
      <c r="Z110" t="s">
        <v>324</v>
      </c>
      <c r="AA110" t="s">
        <v>325</v>
      </c>
      <c r="AB110" t="s">
        <v>312</v>
      </c>
      <c r="AE110" t="s">
        <v>313</v>
      </c>
    </row>
    <row r="111" spans="11:31" x14ac:dyDescent="0.3">
      <c r="X111" t="s">
        <v>319</v>
      </c>
      <c r="Y111">
        <v>11</v>
      </c>
      <c r="Z111">
        <v>66</v>
      </c>
      <c r="AA111">
        <v>23</v>
      </c>
      <c r="AB111">
        <v>100</v>
      </c>
      <c r="AC111" s="15">
        <f>Y111/(Y111+AA111)</f>
        <v>0.3235294117647059</v>
      </c>
      <c r="AE111">
        <v>35258</v>
      </c>
    </row>
    <row r="112" spans="11:31" hidden="1" x14ac:dyDescent="0.3"/>
    <row r="113" spans="5:49" hidden="1" x14ac:dyDescent="0.3"/>
    <row r="114" spans="5:49" hidden="1" x14ac:dyDescent="0.3"/>
    <row r="115" spans="5:49" ht="65.400000000000006" customHeight="1" x14ac:dyDescent="0.3">
      <c r="AV115" s="19" t="s">
        <v>364</v>
      </c>
    </row>
    <row r="116" spans="5:49" ht="13.8" customHeight="1" x14ac:dyDescent="0.3"/>
    <row r="117" spans="5:49" hidden="1" x14ac:dyDescent="0.3"/>
    <row r="118" spans="5:49" ht="15.6" hidden="1" customHeight="1" x14ac:dyDescent="0.3"/>
    <row r="119" spans="5:49" ht="8.4" customHeight="1" x14ac:dyDescent="0.3"/>
    <row r="120" spans="5:49" ht="92.4" customHeight="1" x14ac:dyDescent="0.3">
      <c r="E120" s="19" t="s">
        <v>363</v>
      </c>
      <c r="G120" s="19" t="str">
        <f>CF25&amp;"-"&amp;CG25&amp;CHAR(10)&amp;CF26&amp;"-"&amp;CG26&amp;CHAR(10)&amp;CF27&amp;"-"&amp;CG27</f>
        <v>Central-5456
East-3635
North-10491</v>
      </c>
      <c r="M120" s="19" t="str">
        <f>BU34&amp;"-"&amp;BU36</f>
        <v>% Fast Delivery -0.323529411764706</v>
      </c>
      <c r="R120" s="24" t="str">
        <f>AC109&amp;"-"&amp;AD109&amp;"-"&amp;AC111</f>
        <v>% Fast Delivery --0.323529411764706</v>
      </c>
      <c r="U120" s="19" t="s">
        <v>362</v>
      </c>
      <c r="W120" s="19" t="str">
        <f>U120&amp;"-"&amp;AE111</f>
        <v>Total Revnue-35258</v>
      </c>
      <c r="X120" s="19" t="str">
        <f>L97&amp;CHAR(10)&amp;BD26&amp;"-"&amp;BE26</f>
        <v>Highest-Selling product by Revenue
Smartphone-9644</v>
      </c>
      <c r="AV120" s="21"/>
      <c r="AW120" t="s">
        <v>364</v>
      </c>
    </row>
    <row r="121" spans="5:49" ht="23.4" customHeight="1" x14ac:dyDescent="0.3">
      <c r="G121" s="19"/>
      <c r="AV121" s="21"/>
    </row>
    <row r="122" spans="5:49" ht="23.4" customHeight="1" x14ac:dyDescent="0.3"/>
    <row r="123" spans="5:49" ht="23.4" customHeight="1" x14ac:dyDescent="0.3"/>
    <row r="143" ht="117.6" customHeight="1" x14ac:dyDescent="0.3"/>
  </sheetData>
  <mergeCells count="1">
    <mergeCell ref="A1:W10"/>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文档" ma:contentTypeID="0x0101004AB6C508583BA648A5BDDD0CAD36FC10" ma:contentTypeVersion="4" ma:contentTypeDescription="新建文档。" ma:contentTypeScope="" ma:versionID="4fd9022bb616efeaf26537c9b4fed78c">
  <xsd:schema xmlns:xsd="http://www.w3.org/2001/XMLSchema" xmlns:xs="http://www.w3.org/2001/XMLSchema" xmlns:p="http://schemas.microsoft.com/office/2006/metadata/properties" xmlns:ns3="34d080bf-7432-4d93-912d-ff69d967b873" targetNamespace="http://schemas.microsoft.com/office/2006/metadata/properties" ma:root="true" ma:fieldsID="a671d2a632c12a3ee8a1cf36cc28aff7" ns3:_="">
    <xsd:import namespace="34d080bf-7432-4d93-912d-ff69d967b87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d080bf-7432-4d93-912d-ff69d967b87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715FFF-A539-434C-BB0F-FF952CA2B3DB}">
  <ds:schemaRefs>
    <ds:schemaRef ds:uri="http://schemas.microsoft.com/sharepoint/v3/contenttype/forms"/>
  </ds:schemaRefs>
</ds:datastoreItem>
</file>

<file path=customXml/itemProps2.xml><?xml version="1.0" encoding="utf-8"?>
<ds:datastoreItem xmlns:ds="http://schemas.openxmlformats.org/officeDocument/2006/customXml" ds:itemID="{E2D1799E-4229-4117-9AB0-BB56F29486DD}">
  <ds:schemaRefs>
    <ds:schemaRef ds:uri="http://purl.org/dc/dcmitype/"/>
    <ds:schemaRef ds:uri="34d080bf-7432-4d93-912d-ff69d967b873"/>
    <ds:schemaRef ds:uri="http://schemas.microsoft.com/office/2006/metadata/propertie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C5DC21B6-5463-4043-B149-03F75EF905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d080bf-7432-4d93-912d-ff69d967b8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2.1 Region-Wise Product Sales</vt:lpstr>
      <vt:lpstr>2.2Orders by Delivery status</vt:lpstr>
      <vt:lpstr>2.3Regional Average Delivery Ti</vt:lpstr>
      <vt:lpstr>4.2Effectivesales only delivery</vt:lpstr>
      <vt:lpstr>4.3Total Revenue</vt:lpstr>
      <vt:lpstr>4.3%of Fast Delivery</vt:lpstr>
      <vt:lpstr>4.3 Top 3 performing regions</vt:lpstr>
      <vt:lpstr>4.3Higherst-Selling product per</vt:lpstr>
      <vt:lpstr>Higherst-Selling productbyReven</vt:lpstr>
      <vt:lpstr>5.3Monthly Sales Trend</vt:lpstr>
      <vt:lpstr>5.3Condition Formatting</vt:lpstr>
      <vt:lpstr>4.1Cancellation Rate by Region</vt:lpstr>
      <vt:lpstr>Brainstroming Reflection</vt:lpstr>
      <vt:lpstr>Q3.Delivery 2days</vt:lpstr>
      <vt:lpstr>Orders</vt:lpstr>
      <vt:lpstr>Product Master</vt:lpstr>
      <vt:lpstr>Region Master</vt:lpstr>
      <vt:lpstr>Customer Master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thakkar</dc:creator>
  <cp:lastModifiedBy>Office</cp:lastModifiedBy>
  <dcterms:created xsi:type="dcterms:W3CDTF">2015-06-05T18:17:20Z</dcterms:created>
  <dcterms:modified xsi:type="dcterms:W3CDTF">2026-04-20T13:18:06Z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0x0101004AB6C508583BA648A5BDDD0CAD36FC10</vt:lpwstr>
  </property>
</Properties>
</file>